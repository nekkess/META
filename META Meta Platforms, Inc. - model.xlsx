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81685cd5063f9d2/Dokumenty/Models stocks/"/>
    </mc:Choice>
  </mc:AlternateContent>
  <xr:revisionPtr revIDLastSave="4518" documentId="8_{48F5FDF1-7296-48D3-BD83-3A73E6D97761}" xr6:coauthVersionLast="47" xr6:coauthVersionMax="47" xr10:uidLastSave="{A2FDF3AC-44DC-49D4-B005-6FF678FC03A3}"/>
  <bookViews>
    <workbookView xWindow="11424" yWindow="0" windowWidth="11712" windowHeight="13776" xr2:uid="{C2A537D2-81CC-41DE-90E3-F8EDF7DA01A3}"/>
  </bookViews>
  <sheets>
    <sheet name="Main" sheetId="1" r:id="rId1"/>
    <sheet name="Mod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Y47" i="2" l="1"/>
  <c r="BY46" i="2"/>
  <c r="BY45" i="2"/>
  <c r="BL34" i="2"/>
  <c r="BK34" i="2"/>
  <c r="AL51" i="2" l="1"/>
  <c r="AK51" i="2"/>
  <c r="AJ51" i="2"/>
  <c r="AI51" i="2"/>
  <c r="AH51" i="2"/>
  <c r="AG51" i="2"/>
  <c r="AF51" i="2"/>
  <c r="AE51" i="2"/>
  <c r="AD51" i="2"/>
  <c r="AC51" i="2"/>
  <c r="AB51" i="2"/>
  <c r="AA51" i="2"/>
  <c r="Z51" i="2"/>
  <c r="BI51" i="2"/>
  <c r="BH51" i="2"/>
  <c r="BG51" i="2"/>
  <c r="BF51" i="2"/>
  <c r="BE51" i="2"/>
  <c r="BD51" i="2"/>
  <c r="BC51" i="2"/>
  <c r="BB51" i="2"/>
  <c r="BA51" i="2"/>
  <c r="AZ51" i="2"/>
  <c r="AY51" i="2"/>
  <c r="AX51" i="2"/>
  <c r="BJ51" i="2"/>
  <c r="J9" i="1"/>
  <c r="AP70" i="2"/>
  <c r="AL149" i="2" l="1"/>
  <c r="AL154" i="2"/>
  <c r="AL157" i="2"/>
  <c r="AL161" i="2"/>
  <c r="AL162" i="2" s="1"/>
  <c r="J21" i="1"/>
  <c r="AL42" i="2"/>
  <c r="AL6" i="2"/>
  <c r="AL7" i="2" s="1"/>
  <c r="AL9" i="2" s="1"/>
  <c r="AL16" i="2"/>
  <c r="AL17" i="2" s="1"/>
  <c r="AL14" i="2"/>
  <c r="AL89" i="2"/>
  <c r="AL81" i="2"/>
  <c r="AL60" i="2"/>
  <c r="AL143" i="2"/>
  <c r="AL144" i="2"/>
  <c r="AL125" i="2"/>
  <c r="AL131" i="2" s="1"/>
  <c r="AL139" i="2" s="1"/>
  <c r="AL112" i="2"/>
  <c r="AL119" i="2" s="1"/>
  <c r="AL102" i="2"/>
  <c r="J11" i="1" s="1"/>
  <c r="AL103" i="2"/>
  <c r="J12" i="1" s="1"/>
  <c r="J13" i="1" s="1"/>
  <c r="J30" i="1" s="1"/>
  <c r="AK161" i="2"/>
  <c r="AK154" i="2"/>
  <c r="AK149" i="2"/>
  <c r="AK143" i="2"/>
  <c r="AK144" i="2" s="1"/>
  <c r="AK138" i="2"/>
  <c r="AK157" i="2" s="1"/>
  <c r="AK125" i="2"/>
  <c r="AK131" i="2" s="1"/>
  <c r="AK112" i="2"/>
  <c r="AK119" i="2" s="1"/>
  <c r="AK103" i="2"/>
  <c r="AK102" i="2"/>
  <c r="AL44" i="2"/>
  <c r="AL46" i="2"/>
  <c r="AL32" i="2"/>
  <c r="AL28" i="2"/>
  <c r="J10" i="1"/>
  <c r="BJ16" i="2"/>
  <c r="BJ17" i="2"/>
  <c r="AK139" i="2" l="1"/>
  <c r="AK162" i="2"/>
  <c r="AL33" i="2"/>
  <c r="J22" i="1"/>
  <c r="J33" i="1"/>
  <c r="BK29" i="2"/>
  <c r="BL29" i="2" s="1"/>
  <c r="BM29" i="2" s="1"/>
  <c r="BN29" i="2" s="1"/>
  <c r="BO29" i="2" s="1"/>
  <c r="BP29" i="2" s="1"/>
  <c r="BK27" i="2"/>
  <c r="BJ42" i="2"/>
  <c r="BJ43" i="2"/>
  <c r="AY103" i="2"/>
  <c r="AY102" i="2"/>
  <c r="AZ103" i="2"/>
  <c r="AZ102" i="2"/>
  <c r="AY88" i="2"/>
  <c r="AY89" i="2" s="1"/>
  <c r="AX88" i="2"/>
  <c r="AX89" i="2" s="1"/>
  <c r="AY80" i="2"/>
  <c r="AX80" i="2"/>
  <c r="AY76" i="2"/>
  <c r="AX76" i="2"/>
  <c r="AX81" i="2"/>
  <c r="AX70" i="2"/>
  <c r="AY70" i="2"/>
  <c r="AY60" i="2"/>
  <c r="AX60" i="2"/>
  <c r="AX46" i="2"/>
  <c r="AY46" i="2"/>
  <c r="AY143" i="2"/>
  <c r="AY144" i="2" s="1"/>
  <c r="AX32" i="2"/>
  <c r="AY32" i="2"/>
  <c r="AX28" i="2"/>
  <c r="AY28" i="2"/>
  <c r="AY44" i="2"/>
  <c r="AZ44" i="2"/>
  <c r="AZ143" i="2"/>
  <c r="AZ144" i="2" s="1"/>
  <c r="AY138" i="2"/>
  <c r="AY150" i="2" s="1"/>
  <c r="AY149" i="2" s="1"/>
  <c r="BH148" i="2" s="1"/>
  <c r="AZ138" i="2"/>
  <c r="AZ124" i="2"/>
  <c r="AY124" i="2"/>
  <c r="AZ122" i="2"/>
  <c r="AY122" i="2"/>
  <c r="AZ117" i="2"/>
  <c r="AZ161" i="2" s="1"/>
  <c r="AY117" i="2"/>
  <c r="AY161" i="2" s="1"/>
  <c r="AY112" i="2"/>
  <c r="AZ112" i="2"/>
  <c r="AZ119" i="2" s="1"/>
  <c r="AY97" i="2"/>
  <c r="AX97" i="2"/>
  <c r="AY71" i="2"/>
  <c r="BA103" i="2"/>
  <c r="BA102" i="2"/>
  <c r="BB103" i="2"/>
  <c r="BB102" i="2"/>
  <c r="AZ89" i="2"/>
  <c r="BA89" i="2"/>
  <c r="AK89" i="2"/>
  <c r="BB89" i="2"/>
  <c r="BB76" i="2"/>
  <c r="BB81" i="2" s="1"/>
  <c r="BA76" i="2"/>
  <c r="BA81" i="2" s="1"/>
  <c r="AZ76" i="2"/>
  <c r="AZ81" i="2" s="1"/>
  <c r="AZ60" i="2"/>
  <c r="AZ32" i="2"/>
  <c r="BA46" i="2"/>
  <c r="AZ46" i="2"/>
  <c r="BA44" i="2"/>
  <c r="AZ28" i="2"/>
  <c r="BA143" i="2"/>
  <c r="BA144" i="2" s="1"/>
  <c r="BB143" i="2"/>
  <c r="BB144" i="2" s="1"/>
  <c r="BA138" i="2"/>
  <c r="BA157" i="2" s="1"/>
  <c r="BB138" i="2"/>
  <c r="BB157" i="2" s="1"/>
  <c r="BB122" i="2"/>
  <c r="BB125" i="2" s="1"/>
  <c r="BB131" i="2" s="1"/>
  <c r="BA122" i="2"/>
  <c r="BA125" i="2" s="1"/>
  <c r="BA131" i="2" s="1"/>
  <c r="BB117" i="2"/>
  <c r="BA117" i="2"/>
  <c r="BA112" i="2"/>
  <c r="BB112" i="2"/>
  <c r="BC103" i="2"/>
  <c r="BC102" i="2"/>
  <c r="BD103" i="2"/>
  <c r="BD102" i="2"/>
  <c r="BC88" i="2"/>
  <c r="BC89" i="2" s="1"/>
  <c r="BC76" i="2"/>
  <c r="BC81" i="2" s="1"/>
  <c r="BC143" i="2"/>
  <c r="BC144" i="2" s="1"/>
  <c r="BD143" i="2"/>
  <c r="BD144" i="2" s="1"/>
  <c r="BC138" i="2"/>
  <c r="BC150" i="2" s="1"/>
  <c r="BC149" i="2" s="1"/>
  <c r="BD138" i="2"/>
  <c r="BD124" i="2"/>
  <c r="BC124" i="2"/>
  <c r="BD122" i="2"/>
  <c r="BD154" i="2" s="1"/>
  <c r="BC122" i="2"/>
  <c r="BC154" i="2" s="1"/>
  <c r="BD117" i="2"/>
  <c r="BD161" i="2" s="1"/>
  <c r="BC117" i="2"/>
  <c r="BC161" i="2" s="1"/>
  <c r="BC112" i="2"/>
  <c r="BD112" i="2"/>
  <c r="BD119" i="2" s="1"/>
  <c r="BF25" i="2"/>
  <c r="BF24" i="2"/>
  <c r="BF23" i="2"/>
  <c r="BE25" i="2"/>
  <c r="BE24" i="2"/>
  <c r="BE23" i="2"/>
  <c r="R16" i="2"/>
  <c r="S16" i="2"/>
  <c r="T16" i="2"/>
  <c r="U16" i="2"/>
  <c r="V16" i="2"/>
  <c r="W16" i="2"/>
  <c r="X16" i="2"/>
  <c r="Y16" i="2"/>
  <c r="Z16" i="2"/>
  <c r="R44" i="2"/>
  <c r="U26" i="2"/>
  <c r="T26" i="2"/>
  <c r="Q26" i="2"/>
  <c r="P26" i="2"/>
  <c r="M26" i="2"/>
  <c r="N88" i="2"/>
  <c r="N89" i="2" s="1"/>
  <c r="N76" i="2"/>
  <c r="N81" i="2" s="1"/>
  <c r="N46" i="2"/>
  <c r="N32" i="2"/>
  <c r="N28" i="2"/>
  <c r="N14" i="2"/>
  <c r="BE88" i="2"/>
  <c r="BE89" i="2" s="1"/>
  <c r="BD88" i="2"/>
  <c r="BD89" i="2" s="1"/>
  <c r="BD76" i="2"/>
  <c r="BD81" i="2" s="1"/>
  <c r="BE76" i="2"/>
  <c r="BE81" i="2" s="1"/>
  <c r="BE143" i="2"/>
  <c r="BE144" i="2" s="1"/>
  <c r="BF143" i="2"/>
  <c r="BF144" i="2" s="1"/>
  <c r="BE138" i="2"/>
  <c r="BE150" i="2" s="1"/>
  <c r="BF138" i="2"/>
  <c r="BF124" i="2"/>
  <c r="BF122" i="2"/>
  <c r="BF154" i="2" s="1"/>
  <c r="BE124" i="2"/>
  <c r="BE122" i="2"/>
  <c r="BE154" i="2" s="1"/>
  <c r="BF117" i="2"/>
  <c r="BF161" i="2" s="1"/>
  <c r="BE117" i="2"/>
  <c r="BE161" i="2" s="1"/>
  <c r="BE112" i="2"/>
  <c r="BF112" i="2"/>
  <c r="BE103" i="2"/>
  <c r="BE102" i="2"/>
  <c r="BF103" i="2"/>
  <c r="BF102" i="2"/>
  <c r="BD70" i="2"/>
  <c r="BE71" i="2"/>
  <c r="BE70" i="2"/>
  <c r="AM97" i="2"/>
  <c r="AN97" i="2"/>
  <c r="AO97" i="2"/>
  <c r="AM70" i="2"/>
  <c r="AN70" i="2"/>
  <c r="AO70" i="2"/>
  <c r="AM48" i="2"/>
  <c r="AN48" i="2"/>
  <c r="AO48" i="2"/>
  <c r="AM44" i="2"/>
  <c r="AO44" i="2"/>
  <c r="Y26" i="2"/>
  <c r="BG143" i="2"/>
  <c r="BG144" i="2" s="1"/>
  <c r="BH143" i="2"/>
  <c r="BH144" i="2" s="1"/>
  <c r="BH149" i="2"/>
  <c r="BI149" i="2"/>
  <c r="BJ149" i="2"/>
  <c r="BG103" i="2"/>
  <c r="BG102" i="2"/>
  <c r="BH103" i="2"/>
  <c r="BH102" i="2"/>
  <c r="BG138" i="2"/>
  <c r="BG150" i="2" s="1"/>
  <c r="BG149" i="2" s="1"/>
  <c r="BH138" i="2"/>
  <c r="BH157" i="2" s="1"/>
  <c r="BH122" i="2"/>
  <c r="BH125" i="2" s="1"/>
  <c r="BH131" i="2" s="1"/>
  <c r="BG122" i="2"/>
  <c r="BG154" i="2" s="1"/>
  <c r="BH117" i="2"/>
  <c r="BH161" i="2" s="1"/>
  <c r="BG117" i="2"/>
  <c r="BG161" i="2" s="1"/>
  <c r="BG112" i="2"/>
  <c r="BH112" i="2"/>
  <c r="BI103" i="2"/>
  <c r="BJ103" i="2"/>
  <c r="BI102" i="2"/>
  <c r="BJ102" i="2"/>
  <c r="BC119" i="2" l="1"/>
  <c r="AY119" i="2"/>
  <c r="AX92" i="2"/>
  <c r="AX94" i="2" s="1"/>
  <c r="AY157" i="2"/>
  <c r="AY125" i="2"/>
  <c r="AY131" i="2" s="1"/>
  <c r="AY139" i="2" s="1"/>
  <c r="AZ125" i="2"/>
  <c r="AZ131" i="2" s="1"/>
  <c r="N33" i="2"/>
  <c r="AY154" i="2"/>
  <c r="AY162" i="2" s="1"/>
  <c r="AZ139" i="2"/>
  <c r="AL35" i="2"/>
  <c r="AL47" i="2"/>
  <c r="AY33" i="2"/>
  <c r="AY47" i="2" s="1"/>
  <c r="AX33" i="2"/>
  <c r="AY81" i="2"/>
  <c r="AY92" i="2" s="1"/>
  <c r="AY94" i="2" s="1"/>
  <c r="BA150" i="2"/>
  <c r="BA149" i="2" s="1"/>
  <c r="BJ148" i="2" s="1"/>
  <c r="AZ150" i="2"/>
  <c r="AZ154" i="2"/>
  <c r="AZ162" i="2" s="1"/>
  <c r="AZ33" i="2"/>
  <c r="AZ47" i="2" s="1"/>
  <c r="AZ157" i="2"/>
  <c r="AL69" i="2"/>
  <c r="AL92" i="2" s="1"/>
  <c r="AL94" i="2" s="1"/>
  <c r="BD157" i="2"/>
  <c r="BC125" i="2"/>
  <c r="BC131" i="2" s="1"/>
  <c r="BC139" i="2" s="1"/>
  <c r="BD150" i="2"/>
  <c r="BD149" i="2" s="1"/>
  <c r="BC162" i="2"/>
  <c r="BB150" i="2"/>
  <c r="BB149" i="2" s="1"/>
  <c r="BB154" i="2"/>
  <c r="AY98" i="2"/>
  <c r="BA119" i="2"/>
  <c r="BB119" i="2"/>
  <c r="BC157" i="2"/>
  <c r="BA154" i="2"/>
  <c r="BB139" i="2"/>
  <c r="BB161" i="2"/>
  <c r="BA139" i="2"/>
  <c r="BA161" i="2"/>
  <c r="Q44" i="2"/>
  <c r="T44" i="2"/>
  <c r="U44" i="2"/>
  <c r="BD162" i="2"/>
  <c r="BD125" i="2"/>
  <c r="BD131" i="2" s="1"/>
  <c r="BD139" i="2" s="1"/>
  <c r="BG125" i="2"/>
  <c r="BG131" i="2" s="1"/>
  <c r="BG139" i="2" s="1"/>
  <c r="N35" i="2"/>
  <c r="N47" i="2"/>
  <c r="BE157" i="2"/>
  <c r="BD92" i="2"/>
  <c r="BD94" i="2" s="1"/>
  <c r="BG119" i="2"/>
  <c r="BE92" i="2"/>
  <c r="BE94" i="2" s="1"/>
  <c r="BE149" i="2"/>
  <c r="BE162" i="2"/>
  <c r="BF125" i="2"/>
  <c r="BF131" i="2" s="1"/>
  <c r="BF139" i="2" s="1"/>
  <c r="BF162" i="2"/>
  <c r="BG162" i="2"/>
  <c r="BE119" i="2"/>
  <c r="BF119" i="2"/>
  <c r="BF150" i="2"/>
  <c r="BE125" i="2"/>
  <c r="BE131" i="2" s="1"/>
  <c r="BE139" i="2" s="1"/>
  <c r="BF157" i="2"/>
  <c r="BH154" i="2"/>
  <c r="BH162" i="2" s="1"/>
  <c r="BG157" i="2"/>
  <c r="BH139" i="2"/>
  <c r="BH119" i="2"/>
  <c r="AZ35" i="2" l="1"/>
  <c r="AL36" i="2"/>
  <c r="AL37" i="2" s="1"/>
  <c r="AY35" i="2"/>
  <c r="AY37" i="2" s="1"/>
  <c r="AY38" i="2" s="1"/>
  <c r="AZ149" i="2"/>
  <c r="BI148" i="2" s="1"/>
  <c r="AL97" i="2"/>
  <c r="AL70" i="2"/>
  <c r="AP71" i="2"/>
  <c r="AX35" i="2"/>
  <c r="AX47" i="2"/>
  <c r="BB162" i="2"/>
  <c r="AZ45" i="2"/>
  <c r="AZ37" i="2"/>
  <c r="AZ151" i="2" s="1"/>
  <c r="BA162" i="2"/>
  <c r="N45" i="2"/>
  <c r="N37" i="2"/>
  <c r="BF149" i="2"/>
  <c r="AX37" i="2" l="1"/>
  <c r="AX45" i="2"/>
  <c r="AZ158" i="2"/>
  <c r="AZ145" i="2"/>
  <c r="AL163" i="2"/>
  <c r="AL38" i="2"/>
  <c r="AL48" i="2"/>
  <c r="AL145" i="2"/>
  <c r="AL158" i="2"/>
  <c r="AL151" i="2"/>
  <c r="AY45" i="2"/>
  <c r="AZ163" i="2"/>
  <c r="AY54" i="2"/>
  <c r="AY48" i="2"/>
  <c r="AY163" i="2"/>
  <c r="AY145" i="2"/>
  <c r="AY151" i="2"/>
  <c r="AY158" i="2"/>
  <c r="AZ48" i="2"/>
  <c r="AZ54" i="2"/>
  <c r="AZ69" i="2" s="1"/>
  <c r="AZ38" i="2"/>
  <c r="N54" i="2"/>
  <c r="N69" i="2" s="1"/>
  <c r="N48" i="2"/>
  <c r="AX38" i="2" l="1"/>
  <c r="AX54" i="2"/>
  <c r="AX48" i="2"/>
  <c r="AZ70" i="2"/>
  <c r="AZ97" i="2"/>
  <c r="AZ98" i="2" s="1"/>
  <c r="AZ71" i="2"/>
  <c r="AZ92" i="2"/>
  <c r="AZ94" i="2" s="1"/>
  <c r="N97" i="2"/>
  <c r="N92" i="2"/>
  <c r="N94" i="2" s="1"/>
  <c r="BI161" i="2" l="1"/>
  <c r="BJ161" i="2"/>
  <c r="BI154" i="2" l="1"/>
  <c r="BI162" i="2" s="1"/>
  <c r="BJ154" i="2"/>
  <c r="BJ162" i="2" s="1"/>
  <c r="BI143" i="2"/>
  <c r="BI144" i="2" s="1"/>
  <c r="BJ143" i="2"/>
  <c r="BJ144" i="2" s="1"/>
  <c r="BI138" i="2"/>
  <c r="BI157" i="2" s="1"/>
  <c r="BJ138" i="2"/>
  <c r="BJ157" i="2" s="1"/>
  <c r="BI125" i="2"/>
  <c r="BI131" i="2" s="1"/>
  <c r="BJ125" i="2"/>
  <c r="BJ131" i="2" s="1"/>
  <c r="BI112" i="2"/>
  <c r="BI119" i="2" s="1"/>
  <c r="BJ112" i="2"/>
  <c r="BJ119" i="2" s="1"/>
  <c r="BJ139" i="2" l="1"/>
  <c r="BI139" i="2"/>
  <c r="AK42" i="2"/>
  <c r="AK16" i="2"/>
  <c r="AK17" i="2" s="1"/>
  <c r="AK14" i="2"/>
  <c r="AK43" i="2" s="1"/>
  <c r="I21" i="1" l="1"/>
  <c r="AK80" i="2"/>
  <c r="AK81" i="2" s="1"/>
  <c r="BJ89" i="2"/>
  <c r="BJ80" i="2"/>
  <c r="BJ81" i="2" s="1"/>
  <c r="AK60" i="2"/>
  <c r="BJ46" i="2"/>
  <c r="I11" i="1"/>
  <c r="I10" i="1"/>
  <c r="I37" i="1" s="1"/>
  <c r="AK46" i="2"/>
  <c r="AK32" i="2"/>
  <c r="AK28" i="2"/>
  <c r="AJ36" i="2"/>
  <c r="AK33" i="2" l="1"/>
  <c r="AK35" i="2" s="1"/>
  <c r="AK45" i="2" s="1"/>
  <c r="I13" i="1"/>
  <c r="I44" i="1" s="1"/>
  <c r="BK31" i="2"/>
  <c r="BL31" i="2" s="1"/>
  <c r="BM31" i="2" s="1"/>
  <c r="BN31" i="2" s="1"/>
  <c r="BO31" i="2" s="1"/>
  <c r="BP31" i="2" s="1"/>
  <c r="BK30" i="2"/>
  <c r="BL27" i="2"/>
  <c r="BM27" i="2" s="1"/>
  <c r="BK24" i="2"/>
  <c r="BL24" i="2" s="1"/>
  <c r="BM24" i="2" s="1"/>
  <c r="BN24" i="2" s="1"/>
  <c r="BO24" i="2" s="1"/>
  <c r="BP24" i="2" s="1"/>
  <c r="BK25" i="2"/>
  <c r="BL25" i="2" s="1"/>
  <c r="BM25" i="2" s="1"/>
  <c r="BN25" i="2" s="1"/>
  <c r="BO25" i="2" s="1"/>
  <c r="BP25" i="2" s="1"/>
  <c r="AK47" i="2" l="1"/>
  <c r="AK37" i="2"/>
  <c r="I33" i="1"/>
  <c r="I22" i="1"/>
  <c r="I30" i="1"/>
  <c r="BL30" i="2"/>
  <c r="BL32" i="2" s="1"/>
  <c r="BK32" i="2"/>
  <c r="BJ32" i="2"/>
  <c r="BJ44" i="2"/>
  <c r="BJ28" i="2"/>
  <c r="BN27" i="2"/>
  <c r="AK151" i="2" l="1"/>
  <c r="AK158" i="2"/>
  <c r="AK163" i="2"/>
  <c r="AK145" i="2"/>
  <c r="AK54" i="2"/>
  <c r="AK69" i="2" s="1"/>
  <c r="AK38" i="2"/>
  <c r="AK48" i="2"/>
  <c r="BJ33" i="2"/>
  <c r="BJ47" i="2" s="1"/>
  <c r="BM30" i="2"/>
  <c r="BM32" i="2" s="1"/>
  <c r="BO27" i="2"/>
  <c r="BP27" i="2" s="1"/>
  <c r="AK70" i="2" l="1"/>
  <c r="AO71" i="2"/>
  <c r="AK92" i="2"/>
  <c r="AK94" i="2" s="1"/>
  <c r="AK97" i="2"/>
  <c r="BN30" i="2"/>
  <c r="BO30" i="2" s="1"/>
  <c r="BJ35" i="2"/>
  <c r="BO32" i="2" l="1"/>
  <c r="BP30" i="2"/>
  <c r="BP32" i="2" s="1"/>
  <c r="AO98" i="2"/>
  <c r="BN32" i="2"/>
  <c r="BJ37" i="2"/>
  <c r="BJ163" i="2" s="1"/>
  <c r="BJ45" i="2"/>
  <c r="H20" i="1"/>
  <c r="H21" i="1" s="1"/>
  <c r="AJ42" i="2"/>
  <c r="AJ16" i="2"/>
  <c r="AJ17" i="2" s="1"/>
  <c r="AF167" i="2"/>
  <c r="AJ81" i="2"/>
  <c r="AJ32" i="2"/>
  <c r="AJ26" i="2"/>
  <c r="AN44" i="2" s="1"/>
  <c r="H11" i="1"/>
  <c r="H9" i="1"/>
  <c r="H10" i="1" s="1"/>
  <c r="BK20" i="2"/>
  <c r="BL20" i="2"/>
  <c r="BM20" i="2"/>
  <c r="BN20" i="2"/>
  <c r="BO20" i="2"/>
  <c r="BP20" i="2"/>
  <c r="BQ20" i="2"/>
  <c r="BR20" i="2"/>
  <c r="BS20" i="2"/>
  <c r="BT20" i="2"/>
  <c r="BJ20" i="2"/>
  <c r="AF25" i="2"/>
  <c r="AF24" i="2"/>
  <c r="AF23" i="2"/>
  <c r="AD20" i="2"/>
  <c r="AF20" i="2" s="1"/>
  <c r="AH20" i="2"/>
  <c r="AI42" i="2"/>
  <c r="AI6" i="2"/>
  <c r="AI7" i="2" s="1"/>
  <c r="AI9" i="2" s="1"/>
  <c r="AI16" i="2"/>
  <c r="AI17" i="2" s="1"/>
  <c r="AI14" i="2"/>
  <c r="AI43" i="2" s="1"/>
  <c r="G20" i="1"/>
  <c r="G21" i="1" s="1"/>
  <c r="H13" i="1" l="1"/>
  <c r="H44" i="1" s="1"/>
  <c r="BJ145" i="2"/>
  <c r="BJ158" i="2"/>
  <c r="BJ69" i="2"/>
  <c r="BJ151" i="2"/>
  <c r="BJ38" i="2"/>
  <c r="AJ28" i="2"/>
  <c r="AJ33" i="2" s="1"/>
  <c r="BJ48" i="2"/>
  <c r="H30" i="1"/>
  <c r="H33" i="1"/>
  <c r="H37" i="1"/>
  <c r="H22" i="1"/>
  <c r="AJ46" i="2"/>
  <c r="AJ44" i="2"/>
  <c r="AJ6" i="2"/>
  <c r="AJ7" i="2" s="1"/>
  <c r="AJ9" i="2" s="1"/>
  <c r="AJ14" i="2"/>
  <c r="AJ43" i="2" s="1"/>
  <c r="AJ69" i="2"/>
  <c r="AJ89" i="2"/>
  <c r="G10" i="1"/>
  <c r="AI89" i="2"/>
  <c r="AI81" i="2"/>
  <c r="G11" i="1"/>
  <c r="AI46" i="2"/>
  <c r="AI32" i="2"/>
  <c r="AI28" i="2"/>
  <c r="AI44" i="2"/>
  <c r="AJ70" i="2" l="1"/>
  <c r="AN71" i="2"/>
  <c r="BJ70" i="2"/>
  <c r="BJ92" i="2"/>
  <c r="BJ94" i="2" s="1"/>
  <c r="BJ97" i="2"/>
  <c r="AJ47" i="2"/>
  <c r="AJ35" i="2"/>
  <c r="AJ37" i="2" s="1"/>
  <c r="AI33" i="2"/>
  <c r="AI35" i="2" s="1"/>
  <c r="AI37" i="2" s="1"/>
  <c r="AJ92" i="2"/>
  <c r="AJ94" i="2" s="1"/>
  <c r="AJ97" i="2"/>
  <c r="G13" i="1"/>
  <c r="G22" i="1" s="1"/>
  <c r="AN98" i="2" l="1"/>
  <c r="AJ45" i="2"/>
  <c r="AI47" i="2"/>
  <c r="AI45" i="2"/>
  <c r="AJ48" i="2"/>
  <c r="AJ38" i="2"/>
  <c r="G33" i="1"/>
  <c r="G30" i="1"/>
  <c r="AI54" i="2"/>
  <c r="AI69" i="2" s="1"/>
  <c r="AI48" i="2"/>
  <c r="AI38" i="2"/>
  <c r="AI70" i="2" l="1"/>
  <c r="AM71" i="2"/>
  <c r="AI97" i="2"/>
  <c r="AI92" i="2"/>
  <c r="AI94" i="2" s="1"/>
  <c r="F10" i="1"/>
  <c r="BI6" i="2"/>
  <c r="BI7" i="2" s="1"/>
  <c r="BI9" i="2" s="1"/>
  <c r="O91" i="2"/>
  <c r="S91" i="2"/>
  <c r="O28" i="2"/>
  <c r="O46" i="2"/>
  <c r="O32" i="2"/>
  <c r="S46" i="2"/>
  <c r="S44" i="2"/>
  <c r="S42" i="2"/>
  <c r="S32" i="2"/>
  <c r="S28" i="2"/>
  <c r="S14" i="2"/>
  <c r="O14" i="2"/>
  <c r="W14" i="2"/>
  <c r="V14" i="2"/>
  <c r="R14" i="2"/>
  <c r="AB42" i="2"/>
  <c r="AA42" i="2"/>
  <c r="Z42" i="2"/>
  <c r="Y42" i="2"/>
  <c r="X42" i="2"/>
  <c r="W42" i="2"/>
  <c r="V42" i="2"/>
  <c r="U42" i="2"/>
  <c r="T42" i="2"/>
  <c r="R88" i="2"/>
  <c r="R89" i="2" s="1"/>
  <c r="R76" i="2"/>
  <c r="R81" i="2" s="1"/>
  <c r="R28" i="2"/>
  <c r="R46" i="2"/>
  <c r="R32" i="2"/>
  <c r="V44" i="2"/>
  <c r="W44" i="2"/>
  <c r="Z44" i="2"/>
  <c r="V89" i="2"/>
  <c r="V81" i="2"/>
  <c r="V46" i="2"/>
  <c r="V32" i="2"/>
  <c r="V28" i="2"/>
  <c r="AH16" i="2"/>
  <c r="AH17" i="2" s="1"/>
  <c r="AH14" i="2"/>
  <c r="AH42" i="2"/>
  <c r="AC88" i="2"/>
  <c r="AC87" i="2"/>
  <c r="AC86" i="2"/>
  <c r="AC85" i="2"/>
  <c r="AC84" i="2"/>
  <c r="AC83" i="2"/>
  <c r="AC80" i="2"/>
  <c r="AC79" i="2"/>
  <c r="AC76" i="2"/>
  <c r="AC75" i="2"/>
  <c r="AC74" i="2"/>
  <c r="AC73" i="2"/>
  <c r="AC56" i="2"/>
  <c r="AC57" i="2"/>
  <c r="AC58" i="2"/>
  <c r="AC59" i="2"/>
  <c r="AC60" i="2"/>
  <c r="AC61" i="2"/>
  <c r="AC62" i="2"/>
  <c r="AC63" i="2"/>
  <c r="AC64" i="2"/>
  <c r="AC65" i="2"/>
  <c r="AC66" i="2"/>
  <c r="AC68" i="2"/>
  <c r="AC55" i="2"/>
  <c r="AG88" i="2"/>
  <c r="AG87" i="2"/>
  <c r="AG86" i="2"/>
  <c r="AG85" i="2"/>
  <c r="AG84" i="2"/>
  <c r="AG83" i="2"/>
  <c r="AG80" i="2"/>
  <c r="AG79" i="2"/>
  <c r="AG76" i="2"/>
  <c r="AG75" i="2"/>
  <c r="AG74" i="2"/>
  <c r="AG73" i="2"/>
  <c r="AG56" i="2"/>
  <c r="AG57" i="2"/>
  <c r="AG58" i="2"/>
  <c r="AG59" i="2"/>
  <c r="AG60" i="2"/>
  <c r="AG61" i="2"/>
  <c r="AG62" i="2"/>
  <c r="AG63" i="2"/>
  <c r="AG64" i="2"/>
  <c r="AG65" i="2"/>
  <c r="AG66" i="2"/>
  <c r="AG68" i="2"/>
  <c r="AG55" i="2"/>
  <c r="AF81" i="2"/>
  <c r="AG27" i="2"/>
  <c r="AG29" i="2"/>
  <c r="AG30" i="2"/>
  <c r="AG31" i="2"/>
  <c r="AG34" i="2"/>
  <c r="AG36" i="2"/>
  <c r="AG38" i="2"/>
  <c r="AG26" i="2"/>
  <c r="AK44" i="2" s="1"/>
  <c r="AC29" i="2"/>
  <c r="AC30" i="2"/>
  <c r="AC31" i="2"/>
  <c r="AC34" i="2"/>
  <c r="AC36" i="2"/>
  <c r="AC38" i="2"/>
  <c r="AC27" i="2"/>
  <c r="AC26" i="2"/>
  <c r="AC44" i="2" s="1"/>
  <c r="AB46" i="2"/>
  <c r="AF46" i="2"/>
  <c r="AF44" i="2"/>
  <c r="AB32" i="2"/>
  <c r="AB28" i="2"/>
  <c r="AF28" i="2"/>
  <c r="AF32" i="2"/>
  <c r="AE91" i="2"/>
  <c r="AE46" i="2"/>
  <c r="AE44" i="2"/>
  <c r="AE32" i="2"/>
  <c r="AE28" i="2"/>
  <c r="AH43" i="2" l="1"/>
  <c r="AL43" i="2"/>
  <c r="AM98" i="2"/>
  <c r="S43" i="2"/>
  <c r="O33" i="2"/>
  <c r="O35" i="2" s="1"/>
  <c r="O89" i="2"/>
  <c r="S89" i="2"/>
  <c r="O81" i="2"/>
  <c r="S81" i="2"/>
  <c r="S33" i="2"/>
  <c r="S35" i="2" s="1"/>
  <c r="R33" i="2"/>
  <c r="R35" i="2" s="1"/>
  <c r="V33" i="2"/>
  <c r="V47" i="2" s="1"/>
  <c r="AG46" i="2"/>
  <c r="AF33" i="2"/>
  <c r="AF35" i="2" s="1"/>
  <c r="AF37" i="2" s="1"/>
  <c r="AF48" i="2" s="1"/>
  <c r="AC46" i="2"/>
  <c r="AF91" i="2"/>
  <c r="AG91" i="2" s="1"/>
  <c r="AG44" i="2"/>
  <c r="AC81" i="2"/>
  <c r="AC89" i="2"/>
  <c r="AG81" i="2"/>
  <c r="AG89" i="2"/>
  <c r="AB89" i="2"/>
  <c r="AF89" i="2"/>
  <c r="AB81" i="2"/>
  <c r="AB33" i="2"/>
  <c r="AE89" i="2"/>
  <c r="AE81" i="2"/>
  <c r="AE33" i="2"/>
  <c r="O47" i="2" l="1"/>
  <c r="S47" i="2"/>
  <c r="R47" i="2"/>
  <c r="O45" i="2"/>
  <c r="O37" i="2"/>
  <c r="S45" i="2"/>
  <c r="S37" i="2"/>
  <c r="AF45" i="2"/>
  <c r="AF54" i="2"/>
  <c r="AF69" i="2" s="1"/>
  <c r="R37" i="2"/>
  <c r="R45" i="2"/>
  <c r="AF47" i="2"/>
  <c r="V35" i="2"/>
  <c r="V45" i="2" s="1"/>
  <c r="AB35" i="2"/>
  <c r="AB47" i="2"/>
  <c r="AE35" i="2"/>
  <c r="AE37" i="2" s="1"/>
  <c r="AE47" i="2"/>
  <c r="AJ71" i="2" l="1"/>
  <c r="AF97" i="2"/>
  <c r="AF70" i="2"/>
  <c r="S48" i="2"/>
  <c r="S54" i="2"/>
  <c r="S69" i="2" s="1"/>
  <c r="O48" i="2"/>
  <c r="O54" i="2"/>
  <c r="O69" i="2" s="1"/>
  <c r="AF92" i="2"/>
  <c r="AF94" i="2" s="1"/>
  <c r="R54" i="2"/>
  <c r="R69" i="2" s="1"/>
  <c r="R48" i="2"/>
  <c r="V37" i="2"/>
  <c r="V48" i="2" s="1"/>
  <c r="AE45" i="2"/>
  <c r="AB37" i="2"/>
  <c r="AB45" i="2"/>
  <c r="AE54" i="2"/>
  <c r="AE69" i="2" s="1"/>
  <c r="AE48" i="2"/>
  <c r="AE70" i="2" l="1"/>
  <c r="AI71" i="2"/>
  <c r="AJ98" i="2"/>
  <c r="V54" i="2"/>
  <c r="V69" i="2" s="1"/>
  <c r="V92" i="2" s="1"/>
  <c r="V94" i="2" s="1"/>
  <c r="O97" i="2"/>
  <c r="O92" i="2"/>
  <c r="O94" i="2" s="1"/>
  <c r="S97" i="2"/>
  <c r="S92" i="2"/>
  <c r="S94" i="2" s="1"/>
  <c r="R97" i="2"/>
  <c r="R92" i="2"/>
  <c r="R94" i="2" s="1"/>
  <c r="AB54" i="2"/>
  <c r="AB69" i="2" s="1"/>
  <c r="AF71" i="2" s="1"/>
  <c r="AB48" i="2"/>
  <c r="AE97" i="2"/>
  <c r="AE92" i="2"/>
  <c r="AE94" i="2" s="1"/>
  <c r="AI98" i="2" l="1"/>
  <c r="AB97" i="2"/>
  <c r="AF98" i="2" s="1"/>
  <c r="AB70" i="2"/>
  <c r="V97" i="2"/>
  <c r="AH89" i="2"/>
  <c r="AH81" i="2"/>
  <c r="F11" i="1"/>
  <c r="F13" i="1" s="1"/>
  <c r="AH46" i="2"/>
  <c r="AH44" i="2"/>
  <c r="AH32" i="2"/>
  <c r="AH28" i="2"/>
  <c r="E36" i="1"/>
  <c r="BD42" i="2"/>
  <c r="BE42" i="2"/>
  <c r="BF42" i="2"/>
  <c r="BG42" i="2"/>
  <c r="BH42" i="2"/>
  <c r="AF16" i="2"/>
  <c r="AF17" i="2" s="1"/>
  <c r="AE16" i="2"/>
  <c r="AE17" i="2" s="1"/>
  <c r="AD16" i="2"/>
  <c r="AD17" i="2" s="1"/>
  <c r="AC16" i="2"/>
  <c r="AC17" i="2" s="1"/>
  <c r="AB16" i="2"/>
  <c r="AB17" i="2" s="1"/>
  <c r="AA16" i="2"/>
  <c r="AA17" i="2" s="1"/>
  <c r="AG16" i="2"/>
  <c r="AG17" i="2" s="1"/>
  <c r="BG16" i="2"/>
  <c r="BG17" i="2" s="1"/>
  <c r="BF16" i="2"/>
  <c r="BF17" i="2" s="1"/>
  <c r="BE16" i="2"/>
  <c r="BE17" i="2" s="1"/>
  <c r="BD16" i="2"/>
  <c r="BD17" i="2" s="1"/>
  <c r="BH16" i="2"/>
  <c r="BH17" i="2" s="1"/>
  <c r="BI16" i="2"/>
  <c r="BI17" i="2" s="1"/>
  <c r="AC43" i="2"/>
  <c r="AC42" i="2"/>
  <c r="AF43" i="2"/>
  <c r="AE43" i="2"/>
  <c r="AD43" i="2"/>
  <c r="AF42" i="2"/>
  <c r="AE42" i="2"/>
  <c r="AD42" i="2"/>
  <c r="AG43" i="2"/>
  <c r="AG42" i="2"/>
  <c r="BI42" i="2"/>
  <c r="BH14" i="2"/>
  <c r="BI43" i="2" s="1"/>
  <c r="BB28" i="2"/>
  <c r="BA32" i="2"/>
  <c r="BA28" i="2"/>
  <c r="BB46" i="2"/>
  <c r="BB44" i="2"/>
  <c r="BB32" i="2"/>
  <c r="BC46" i="2"/>
  <c r="BC44" i="2"/>
  <c r="BC32" i="2"/>
  <c r="BC28" i="2"/>
  <c r="BD97" i="2"/>
  <c r="BE97" i="2"/>
  <c r="BD46" i="2"/>
  <c r="BD44" i="2"/>
  <c r="BD32" i="2"/>
  <c r="BD28" i="2"/>
  <c r="BE46" i="2"/>
  <c r="BE44" i="2"/>
  <c r="BE32" i="2"/>
  <c r="BE28" i="2"/>
  <c r="BI89" i="2"/>
  <c r="BI81" i="2"/>
  <c r="BI46" i="2"/>
  <c r="BI44" i="2"/>
  <c r="BI32" i="2"/>
  <c r="BI28" i="2"/>
  <c r="AA89" i="2"/>
  <c r="AA91" i="2"/>
  <c r="W46" i="2"/>
  <c r="W32" i="2"/>
  <c r="W28" i="2"/>
  <c r="AA46" i="2"/>
  <c r="AA44" i="2"/>
  <c r="AA32" i="2"/>
  <c r="AA28" i="2"/>
  <c r="Z89" i="2"/>
  <c r="AD89" i="2"/>
  <c r="Z81" i="2"/>
  <c r="AD81" i="2"/>
  <c r="Z46" i="2"/>
  <c r="Z32" i="2"/>
  <c r="Z28" i="2"/>
  <c r="AD44" i="2"/>
  <c r="AD46" i="2"/>
  <c r="AD32" i="2"/>
  <c r="AD28" i="2"/>
  <c r="BG32" i="2"/>
  <c r="BF32" i="2"/>
  <c r="BH32" i="2"/>
  <c r="BF28" i="2"/>
  <c r="BG28" i="2"/>
  <c r="BH28" i="2"/>
  <c r="BF89" i="2"/>
  <c r="BG89" i="2"/>
  <c r="BH89" i="2"/>
  <c r="BF81" i="2"/>
  <c r="BG81" i="2"/>
  <c r="BH81" i="2"/>
  <c r="BF46" i="2"/>
  <c r="BF44" i="2"/>
  <c r="BG46" i="2"/>
  <c r="BG44" i="2"/>
  <c r="BH46" i="2"/>
  <c r="BH44" i="2"/>
  <c r="D12" i="1"/>
  <c r="D11" i="1"/>
  <c r="BD2" i="2"/>
  <c r="BE2" i="2" s="1"/>
  <c r="BF2" i="2" s="1"/>
  <c r="BG2" i="2" s="1"/>
  <c r="BH2" i="2" s="1"/>
  <c r="BI2" i="2" s="1"/>
  <c r="BJ2" i="2" s="1"/>
  <c r="BK2" i="2" s="1"/>
  <c r="BL2" i="2" s="1"/>
  <c r="BM2" i="2" s="1"/>
  <c r="BN2" i="2" s="1"/>
  <c r="BO2" i="2" s="1"/>
  <c r="BP2" i="2" s="1"/>
  <c r="BQ2" i="2" s="1"/>
  <c r="BR2" i="2" s="1"/>
  <c r="BS2" i="2" s="1"/>
  <c r="BT2" i="2" s="1"/>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ED2" i="2" s="1"/>
  <c r="EE2" i="2" s="1"/>
  <c r="EF2" i="2" s="1"/>
  <c r="EG2" i="2" s="1"/>
  <c r="EH2" i="2" s="1"/>
  <c r="EI2" i="2" s="1"/>
  <c r="EJ2" i="2" s="1"/>
  <c r="EK2" i="2" s="1"/>
  <c r="EL2" i="2" s="1"/>
  <c r="EM2" i="2" s="1"/>
  <c r="EN2" i="2" s="1"/>
  <c r="EO2" i="2" s="1"/>
  <c r="EP2" i="2" s="1"/>
  <c r="EQ2" i="2" s="1"/>
  <c r="ER2" i="2" s="1"/>
  <c r="ES2" i="2" s="1"/>
  <c r="ET2" i="2" s="1"/>
  <c r="EU2" i="2" s="1"/>
  <c r="EV2" i="2" s="1"/>
  <c r="EW2" i="2" s="1"/>
  <c r="EX2" i="2" s="1"/>
  <c r="EY2" i="2" s="1"/>
  <c r="EZ2" i="2" s="1"/>
  <c r="FA2" i="2" s="1"/>
  <c r="FB2" i="2" s="1"/>
  <c r="FC2" i="2" s="1"/>
  <c r="FD2" i="2" s="1"/>
  <c r="FE2" i="2" s="1"/>
  <c r="FF2" i="2" s="1"/>
  <c r="FG2" i="2" s="1"/>
  <c r="FH2" i="2" s="1"/>
  <c r="FI2" i="2" s="1"/>
  <c r="FJ2" i="2" s="1"/>
  <c r="FK2" i="2" s="1"/>
  <c r="FL2" i="2" s="1"/>
  <c r="FM2" i="2" s="1"/>
  <c r="FN2" i="2" s="1"/>
  <c r="FO2" i="2" s="1"/>
  <c r="FP2" i="2" s="1"/>
  <c r="BE98" i="2" l="1"/>
  <c r="F30" i="1"/>
  <c r="F33" i="1"/>
  <c r="BK13" i="2"/>
  <c r="BK5" i="2"/>
  <c r="BJ7" i="2"/>
  <c r="BJ9" i="2" s="1"/>
  <c r="AG32" i="2"/>
  <c r="AC28" i="2"/>
  <c r="AC32" i="2"/>
  <c r="AB91" i="2"/>
  <c r="AB92" i="2" s="1"/>
  <c r="AB94" i="2" s="1"/>
  <c r="AG28" i="2"/>
  <c r="BD33" i="2"/>
  <c r="AH33" i="2"/>
  <c r="BG14" i="2"/>
  <c r="BF14" i="2" s="1"/>
  <c r="BK14" i="2"/>
  <c r="BA33" i="2"/>
  <c r="BA47" i="2" s="1"/>
  <c r="BB33" i="2"/>
  <c r="BC33" i="2"/>
  <c r="BI33" i="2"/>
  <c r="BE33" i="2"/>
  <c r="BF33" i="2"/>
  <c r="W89" i="2"/>
  <c r="W81" i="2"/>
  <c r="AA81" i="2"/>
  <c r="W33" i="2"/>
  <c r="AA33" i="2"/>
  <c r="BG33" i="2"/>
  <c r="Z33" i="2"/>
  <c r="AD33" i="2"/>
  <c r="BH33" i="2"/>
  <c r="D10" i="1"/>
  <c r="D13" i="1" s="1"/>
  <c r="BK23" i="2" l="1"/>
  <c r="BK26" i="2" s="1"/>
  <c r="BK46" i="2" s="1"/>
  <c r="BL5" i="2"/>
  <c r="BK7" i="2"/>
  <c r="BK9" i="2" s="1"/>
  <c r="BL13" i="2"/>
  <c r="AC91" i="2"/>
  <c r="BF35" i="2"/>
  <c r="BF45" i="2" s="1"/>
  <c r="BF47" i="2"/>
  <c r="BE35" i="2"/>
  <c r="BE45" i="2" s="1"/>
  <c r="BE47" i="2"/>
  <c r="BH35" i="2"/>
  <c r="BH37" i="2" s="1"/>
  <c r="AC33" i="2"/>
  <c r="AC47" i="2" s="1"/>
  <c r="BH47" i="2"/>
  <c r="BI35" i="2"/>
  <c r="BI37" i="2" s="1"/>
  <c r="BI47" i="2"/>
  <c r="AG33" i="2"/>
  <c r="AG47" i="2" s="1"/>
  <c r="AD35" i="2"/>
  <c r="AD45" i="2" s="1"/>
  <c r="AD47" i="2"/>
  <c r="BC35" i="2"/>
  <c r="BC37" i="2" s="1"/>
  <c r="BC47" i="2"/>
  <c r="Z35" i="2"/>
  <c r="Z45" i="2" s="1"/>
  <c r="Z47" i="2"/>
  <c r="BB35" i="2"/>
  <c r="BB37" i="2" s="1"/>
  <c r="BB54" i="2" s="1"/>
  <c r="BB69" i="2" s="1"/>
  <c r="BB47" i="2"/>
  <c r="AH35" i="2"/>
  <c r="AH37" i="2" s="1"/>
  <c r="AH47" i="2"/>
  <c r="BG35" i="2"/>
  <c r="BG37" i="2" s="1"/>
  <c r="BG47" i="2"/>
  <c r="BA35" i="2"/>
  <c r="BD35" i="2"/>
  <c r="BD37" i="2" s="1"/>
  <c r="BD47" i="2"/>
  <c r="AA35" i="2"/>
  <c r="AA37" i="2" s="1"/>
  <c r="AA54" i="2" s="1"/>
  <c r="AA69" i="2" s="1"/>
  <c r="AA47" i="2"/>
  <c r="W35" i="2"/>
  <c r="W45" i="2" s="1"/>
  <c r="W47" i="2"/>
  <c r="BE14" i="2"/>
  <c r="BF43" i="2" s="1"/>
  <c r="BG43" i="2"/>
  <c r="BH43" i="2"/>
  <c r="E33" i="1"/>
  <c r="E37" i="1"/>
  <c r="BL14" i="2"/>
  <c r="BB70" i="2" l="1"/>
  <c r="BB97" i="2"/>
  <c r="BB92" i="2"/>
  <c r="BB94" i="2" s="1"/>
  <c r="BA37" i="2"/>
  <c r="BA151" i="2" s="1"/>
  <c r="BA45" i="2"/>
  <c r="BB48" i="2"/>
  <c r="BB145" i="2"/>
  <c r="BB158" i="2"/>
  <c r="BB151" i="2"/>
  <c r="BB163" i="2"/>
  <c r="BA145" i="2"/>
  <c r="BD145" i="2"/>
  <c r="BD163" i="2"/>
  <c r="BD151" i="2"/>
  <c r="BD158" i="2"/>
  <c r="BC48" i="2"/>
  <c r="BC54" i="2"/>
  <c r="BC69" i="2" s="1"/>
  <c r="BC71" i="2" s="1"/>
  <c r="BC163" i="2"/>
  <c r="BC158" i="2"/>
  <c r="BC145" i="2"/>
  <c r="BC151" i="2"/>
  <c r="AE71" i="2"/>
  <c r="BD48" i="2"/>
  <c r="BD54" i="2"/>
  <c r="BH151" i="2"/>
  <c r="BH158" i="2"/>
  <c r="BH145" i="2"/>
  <c r="BH163" i="2"/>
  <c r="BG54" i="2"/>
  <c r="BG69" i="2" s="1"/>
  <c r="BG151" i="2"/>
  <c r="BG163" i="2"/>
  <c r="BG145" i="2"/>
  <c r="BG158" i="2"/>
  <c r="BI158" i="2"/>
  <c r="BI163" i="2"/>
  <c r="BI151" i="2"/>
  <c r="BI145" i="2"/>
  <c r="BK28" i="2"/>
  <c r="BK33" i="2" s="1"/>
  <c r="BK35" i="2" s="1"/>
  <c r="BK44" i="2"/>
  <c r="AA97" i="2"/>
  <c r="AA70" i="2"/>
  <c r="BL23" i="2"/>
  <c r="BL26" i="2" s="1"/>
  <c r="BL28" i="2" s="1"/>
  <c r="BL33" i="2" s="1"/>
  <c r="BM13" i="2"/>
  <c r="BM5" i="2"/>
  <c r="BL7" i="2"/>
  <c r="BL9" i="2" s="1"/>
  <c r="AA45" i="2"/>
  <c r="BE37" i="2"/>
  <c r="W37" i="2"/>
  <c r="W48" i="2" s="1"/>
  <c r="AH45" i="2"/>
  <c r="BB45" i="2"/>
  <c r="BF37" i="2"/>
  <c r="BG45" i="2"/>
  <c r="Z37" i="2"/>
  <c r="Z54" i="2" s="1"/>
  <c r="Z69" i="2" s="1"/>
  <c r="Z71" i="2" s="1"/>
  <c r="AA48" i="2"/>
  <c r="BH54" i="2"/>
  <c r="BH69" i="2" s="1"/>
  <c r="BI48" i="2"/>
  <c r="BC45" i="2"/>
  <c r="BD45" i="2"/>
  <c r="AD37" i="2"/>
  <c r="AD54" i="2" s="1"/>
  <c r="AD69" i="2" s="1"/>
  <c r="BI45" i="2"/>
  <c r="AG35" i="2"/>
  <c r="AG45" i="2" s="1"/>
  <c r="BH45" i="2"/>
  <c r="AC35" i="2"/>
  <c r="AC45" i="2" s="1"/>
  <c r="AA92" i="2"/>
  <c r="AA94" i="2" s="1"/>
  <c r="AH54" i="2"/>
  <c r="AH69" i="2" s="1"/>
  <c r="AH48" i="2"/>
  <c r="BD14" i="2"/>
  <c r="E30" i="1"/>
  <c r="BM14" i="2"/>
  <c r="BI54" i="2"/>
  <c r="BI69" i="2" s="1"/>
  <c r="BG48" i="2"/>
  <c r="BH48" i="2"/>
  <c r="BK36" i="2" l="1"/>
  <c r="BK37" i="2" s="1"/>
  <c r="BA163" i="2"/>
  <c r="BA158" i="2"/>
  <c r="BA54" i="2"/>
  <c r="BA69" i="2" s="1"/>
  <c r="BA48" i="2"/>
  <c r="BE43" i="2"/>
  <c r="BC14" i="2"/>
  <c r="BC70" i="2"/>
  <c r="BD71" i="2"/>
  <c r="BC97" i="2"/>
  <c r="BC92" i="2"/>
  <c r="BC94" i="2" s="1"/>
  <c r="BH97" i="2"/>
  <c r="BH71" i="2"/>
  <c r="BH70" i="2"/>
  <c r="AH70" i="2"/>
  <c r="AL71" i="2"/>
  <c r="AH71" i="2"/>
  <c r="BG97" i="2"/>
  <c r="BG70" i="2"/>
  <c r="AE98" i="2"/>
  <c r="BI97" i="2"/>
  <c r="BI71" i="2"/>
  <c r="BI70" i="2"/>
  <c r="BJ71" i="2"/>
  <c r="BE48" i="2"/>
  <c r="BE54" i="2"/>
  <c r="BE151" i="2"/>
  <c r="BE145" i="2"/>
  <c r="BE158" i="2"/>
  <c r="BE163" i="2"/>
  <c r="BF54" i="2"/>
  <c r="BF69" i="2" s="1"/>
  <c r="BF145" i="2"/>
  <c r="BF163" i="2"/>
  <c r="BF158" i="2"/>
  <c r="BF151" i="2"/>
  <c r="AD71" i="2"/>
  <c r="BG92" i="2"/>
  <c r="BG94" i="2" s="1"/>
  <c r="BK47" i="2"/>
  <c r="BL44" i="2"/>
  <c r="AD97" i="2"/>
  <c r="AD70" i="2"/>
  <c r="Z97" i="2"/>
  <c r="Z98" i="2" s="1"/>
  <c r="Z70" i="2"/>
  <c r="BM23" i="2"/>
  <c r="BM26" i="2" s="1"/>
  <c r="BM28" i="2" s="1"/>
  <c r="BM33" i="2" s="1"/>
  <c r="BL35" i="2"/>
  <c r="BL47" i="2"/>
  <c r="BN5" i="2"/>
  <c r="BM7" i="2"/>
  <c r="BM9" i="2" s="1"/>
  <c r="BN13" i="2"/>
  <c r="BH92" i="2"/>
  <c r="BH94" i="2" s="1"/>
  <c r="W54" i="2"/>
  <c r="W69" i="2" s="1"/>
  <c r="BF48" i="2"/>
  <c r="Z48" i="2"/>
  <c r="AD48" i="2"/>
  <c r="Z92" i="2"/>
  <c r="Z94" i="2" s="1"/>
  <c r="AC37" i="2"/>
  <c r="AC54" i="2" s="1"/>
  <c r="AC69" i="2" s="1"/>
  <c r="AC70" i="2" s="1"/>
  <c r="AD92" i="2"/>
  <c r="AD94" i="2" s="1"/>
  <c r="AG37" i="2"/>
  <c r="BI92" i="2"/>
  <c r="BI94" i="2" s="1"/>
  <c r="AH97" i="2"/>
  <c r="AL98" i="2" s="1"/>
  <c r="AH92" i="2"/>
  <c r="AH94" i="2" s="1"/>
  <c r="BN14" i="2"/>
  <c r="BK48" i="2" l="1"/>
  <c r="BK102" i="2"/>
  <c r="BL36" i="2"/>
  <c r="BL37" i="2" s="1"/>
  <c r="BD98" i="2"/>
  <c r="BC98" i="2"/>
  <c r="BA70" i="2"/>
  <c r="BA97" i="2"/>
  <c r="BA71" i="2"/>
  <c r="BA92" i="2"/>
  <c r="BA94" i="2" s="1"/>
  <c r="BB71" i="2"/>
  <c r="BI98" i="2"/>
  <c r="BJ98" i="2"/>
  <c r="BF97" i="2"/>
  <c r="BF98" i="2" s="1"/>
  <c r="BF71" i="2"/>
  <c r="BF70" i="2"/>
  <c r="BG71" i="2"/>
  <c r="AD98" i="2"/>
  <c r="AH98" i="2"/>
  <c r="W97" i="2"/>
  <c r="AA98" i="2" s="1"/>
  <c r="AA71" i="2"/>
  <c r="BF92" i="2"/>
  <c r="BF94" i="2" s="1"/>
  <c r="BH98" i="2"/>
  <c r="BM44" i="2"/>
  <c r="BN23" i="2"/>
  <c r="BN26" i="2" s="1"/>
  <c r="BN28" i="2" s="1"/>
  <c r="BN33" i="2" s="1"/>
  <c r="BM47" i="2"/>
  <c r="W92" i="2"/>
  <c r="W94" i="2" s="1"/>
  <c r="BO13" i="2"/>
  <c r="BO5" i="2"/>
  <c r="BN7" i="2"/>
  <c r="BN9" i="2" s="1"/>
  <c r="AC48" i="2"/>
  <c r="AC97" i="2"/>
  <c r="AC92" i="2"/>
  <c r="AC94" i="2" s="1"/>
  <c r="AG48" i="2"/>
  <c r="AG54" i="2"/>
  <c r="AG69" i="2" s="1"/>
  <c r="BO14" i="2"/>
  <c r="BL48" i="2" l="1"/>
  <c r="BL102" i="2"/>
  <c r="BM34" i="2" s="1"/>
  <c r="BM35" i="2" s="1"/>
  <c r="BM36" i="2" s="1"/>
  <c r="BM37" i="2" s="1"/>
  <c r="BA98" i="2"/>
  <c r="BB98" i="2"/>
  <c r="BG98" i="2"/>
  <c r="AG70" i="2"/>
  <c r="AG71" i="2"/>
  <c r="AK71" i="2"/>
  <c r="BO23" i="2"/>
  <c r="BO26" i="2" s="1"/>
  <c r="BO28" i="2" s="1"/>
  <c r="BO33" i="2" s="1"/>
  <c r="BN44" i="2"/>
  <c r="BN47" i="2"/>
  <c r="BP14" i="2"/>
  <c r="BP5" i="2"/>
  <c r="BO7" i="2"/>
  <c r="BO9" i="2" s="1"/>
  <c r="BP13" i="2"/>
  <c r="BP23" i="2" s="1"/>
  <c r="AG97" i="2"/>
  <c r="AG92" i="2"/>
  <c r="AG94" i="2" s="1"/>
  <c r="BM48" i="2" l="1"/>
  <c r="BM102" i="2"/>
  <c r="BN34" i="2" s="1"/>
  <c r="BN35" i="2" s="1"/>
  <c r="BN36" i="2"/>
  <c r="BN37" i="2" s="1"/>
  <c r="AG98" i="2"/>
  <c r="AK98" i="2"/>
  <c r="BO44" i="2"/>
  <c r="BO47" i="2"/>
  <c r="BQ13" i="2"/>
  <c r="BQ5" i="2"/>
  <c r="BP7" i="2"/>
  <c r="BP9" i="2" s="1"/>
  <c r="BQ14" i="2"/>
  <c r="BP26" i="2"/>
  <c r="BP28" i="2" s="1"/>
  <c r="BP33" i="2" s="1"/>
  <c r="BN48" i="2" l="1"/>
  <c r="BN102" i="2"/>
  <c r="BO34" i="2" s="1"/>
  <c r="BO35" i="2" s="1"/>
  <c r="BO36" i="2"/>
  <c r="BO37" i="2"/>
  <c r="BO48" i="2" s="1"/>
  <c r="BP47" i="2"/>
  <c r="BP44" i="2"/>
  <c r="BR14" i="2"/>
  <c r="BQ26" i="2"/>
  <c r="BR5" i="2"/>
  <c r="BQ7" i="2"/>
  <c r="BQ9" i="2" s="1"/>
  <c r="BR13" i="2"/>
  <c r="BO102" i="2" l="1"/>
  <c r="BP34" i="2" s="1"/>
  <c r="BP35" i="2" s="1"/>
  <c r="BQ44" i="2"/>
  <c r="BS13" i="2"/>
  <c r="BS5" i="2"/>
  <c r="BR7" i="2"/>
  <c r="BR9" i="2" s="1"/>
  <c r="BR26" i="2"/>
  <c r="BS14" i="2"/>
  <c r="BP37" i="2" l="1"/>
  <c r="BP48" i="2" s="1"/>
  <c r="BP36" i="2"/>
  <c r="BR44" i="2"/>
  <c r="BT5" i="2"/>
  <c r="BT7" i="2" s="1"/>
  <c r="BS7" i="2"/>
  <c r="BS9" i="2" s="1"/>
  <c r="BT13" i="2"/>
  <c r="BS26" i="2"/>
  <c r="BT14" i="2"/>
  <c r="BP102" i="2" l="1"/>
  <c r="BS44" i="2"/>
  <c r="BT9" i="2"/>
  <c r="BT26" i="2"/>
  <c r="BT44" i="2" l="1"/>
  <c r="BS37" i="2" l="1"/>
  <c r="BR37" i="2"/>
  <c r="BT37" i="2"/>
  <c r="BU37" i="2"/>
  <c r="BV37" i="2" s="1"/>
  <c r="BQ37" i="2"/>
  <c r="BW37" i="2" l="1"/>
  <c r="BX37" i="2" s="1"/>
  <c r="BY37" i="2" s="1"/>
  <c r="BZ37" i="2" s="1"/>
  <c r="CA37" i="2" s="1"/>
  <c r="CB37" i="2" s="1"/>
  <c r="CC37" i="2" s="1"/>
  <c r="CD37" i="2" s="1"/>
  <c r="CE37" i="2" s="1"/>
  <c r="CF37" i="2" s="1"/>
  <c r="CG37" i="2" s="1"/>
  <c r="CH37" i="2" s="1"/>
  <c r="CI37" i="2" s="1"/>
  <c r="CJ37" i="2" s="1"/>
  <c r="CK37" i="2" s="1"/>
  <c r="CL37" i="2" s="1"/>
  <c r="CM37" i="2" s="1"/>
  <c r="CN37" i="2" s="1"/>
  <c r="CO37" i="2" s="1"/>
  <c r="CP37" i="2" s="1"/>
  <c r="CQ37" i="2" s="1"/>
  <c r="CR37" i="2" s="1"/>
  <c r="CS37" i="2" s="1"/>
  <c r="CT37" i="2" s="1"/>
  <c r="CU37" i="2" s="1"/>
  <c r="CV37" i="2" s="1"/>
  <c r="CW37" i="2" s="1"/>
  <c r="CX37" i="2" s="1"/>
  <c r="CY37" i="2" s="1"/>
  <c r="CZ37" i="2" s="1"/>
  <c r="DA37" i="2" s="1"/>
  <c r="DB37" i="2" s="1"/>
  <c r="DC37" i="2" s="1"/>
  <c r="DD37" i="2" s="1"/>
  <c r="DE37" i="2" s="1"/>
  <c r="DF37" i="2" s="1"/>
  <c r="DG37" i="2" s="1"/>
  <c r="DH37" i="2" s="1"/>
  <c r="DI37" i="2" s="1"/>
  <c r="DJ37" i="2" s="1"/>
  <c r="DK37" i="2" s="1"/>
  <c r="DL37" i="2" s="1"/>
  <c r="DM37" i="2" s="1"/>
  <c r="DN37" i="2" s="1"/>
  <c r="DO37" i="2" s="1"/>
  <c r="DP37" i="2" s="1"/>
  <c r="DQ37" i="2" s="1"/>
  <c r="DR37" i="2" s="1"/>
  <c r="DS37" i="2" s="1"/>
  <c r="DT37" i="2" s="1"/>
  <c r="DU37" i="2" s="1"/>
  <c r="DV37" i="2" s="1"/>
  <c r="DW37" i="2" s="1"/>
  <c r="DX37" i="2" s="1"/>
  <c r="DY37" i="2" s="1"/>
  <c r="DZ37" i="2" s="1"/>
  <c r="EA37" i="2" s="1"/>
  <c r="EB37" i="2" s="1"/>
  <c r="EC37" i="2" s="1"/>
  <c r="ED37" i="2" s="1"/>
  <c r="EE37" i="2" s="1"/>
  <c r="EF37" i="2" s="1"/>
  <c r="EG37" i="2" s="1"/>
  <c r="EH37" i="2" s="1"/>
  <c r="EI37" i="2" s="1"/>
  <c r="EJ37" i="2" s="1"/>
  <c r="EK37" i="2" s="1"/>
  <c r="EL37" i="2" s="1"/>
  <c r="EM37" i="2" s="1"/>
  <c r="EN37" i="2" s="1"/>
  <c r="EO37" i="2" s="1"/>
  <c r="EP37" i="2" s="1"/>
  <c r="EQ37" i="2" s="1"/>
  <c r="ER37" i="2" s="1"/>
  <c r="ES37" i="2" s="1"/>
  <c r="ET37" i="2" s="1"/>
  <c r="EU37" i="2" s="1"/>
  <c r="EV37" i="2" s="1"/>
  <c r="EW37" i="2" s="1"/>
  <c r="EX37" i="2" s="1"/>
  <c r="EY37" i="2" s="1"/>
  <c r="EZ37" i="2" s="1"/>
  <c r="FA37" i="2" s="1"/>
  <c r="FB37" i="2" s="1"/>
  <c r="FC37" i="2" s="1"/>
  <c r="FD37" i="2" s="1"/>
  <c r="FE37" i="2" s="1"/>
  <c r="FF37" i="2" s="1"/>
  <c r="FG37" i="2" s="1"/>
  <c r="FH37" i="2" s="1"/>
  <c r="FI37" i="2" s="1"/>
  <c r="FJ37" i="2" s="1"/>
  <c r="FK37" i="2" s="1"/>
  <c r="FL37" i="2" s="1"/>
  <c r="FM37" i="2" s="1"/>
  <c r="FN37" i="2" s="1"/>
  <c r="FO37" i="2" s="1"/>
  <c r="FP3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Franciszek Kessler</author>
  </authors>
  <commentList>
    <comment ref="H19" authorId="0" shapeId="0" xr:uid="{4D1304A7-0F7C-4A85-AF8E-5F0C0A2DF5D4}">
      <text>
        <r>
          <rPr>
            <b/>
            <sz val="9"/>
            <color indexed="81"/>
            <rFont val="Tahoma"/>
            <family val="2"/>
            <charset val="238"/>
          </rPr>
          <t>Franciszek Kessler:</t>
        </r>
        <r>
          <rPr>
            <sz val="9"/>
            <color indexed="81"/>
            <rFont val="Tahoma"/>
            <family val="2"/>
            <charset val="238"/>
          </rPr>
          <t xml:space="preserve">
normal tax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Franciszek Kessler</author>
    <author>tc={634062C4-6901-4852-8BF6-6E4FF13202D3}</author>
  </authors>
  <commentList>
    <comment ref="O13" authorId="0" shapeId="0" xr:uid="{ABB90E72-FDCE-4A06-910E-5142572E9CCD}">
      <text>
        <r>
          <rPr>
            <b/>
            <sz val="9"/>
            <color indexed="81"/>
            <rFont val="Tahoma"/>
            <family val="2"/>
            <charset val="238"/>
          </rPr>
          <t>Franciszek Kessler:</t>
        </r>
        <r>
          <rPr>
            <sz val="9"/>
            <color indexed="81"/>
            <rFont val="Tahoma"/>
            <family val="2"/>
            <charset val="238"/>
          </rPr>
          <t xml:space="preserve">
COVID lol
</t>
        </r>
      </text>
    </comment>
    <comment ref="AL13" authorId="0" shapeId="0" xr:uid="{457DFA26-48BD-457C-ADD4-06CFA6D48C0C}">
      <text>
        <r>
          <rPr>
            <b/>
            <sz val="9"/>
            <color indexed="81"/>
            <rFont val="Tahoma"/>
            <family val="2"/>
            <charset val="238"/>
          </rPr>
          <t>Franciszek Kessler:</t>
        </r>
        <r>
          <rPr>
            <sz val="9"/>
            <color indexed="81"/>
            <rFont val="Tahoma"/>
            <family val="2"/>
            <charset val="238"/>
          </rPr>
          <t xml:space="preserve">
 DAP was 3.56 billion on average for March 2026, an increase of 4% year-over-year. The slight decline in DAP on a quarter-over-quarter basis was driven by internet disruptions in Iran, as well as a restriction on access to WhatsApp in Russia.</t>
        </r>
      </text>
    </comment>
    <comment ref="AK20" authorId="0" shapeId="0" xr:uid="{0D8752AF-6C8F-4F27-8AAB-C212F5D00D86}">
      <text>
        <r>
          <rPr>
            <b/>
            <sz val="9"/>
            <color indexed="81"/>
            <rFont val="Tahoma"/>
            <family val="2"/>
            <charset val="238"/>
          </rPr>
          <t>Franciszek Kessler:</t>
        </r>
        <r>
          <rPr>
            <sz val="9"/>
            <color indexed="81"/>
            <rFont val="Tahoma"/>
            <family val="2"/>
            <charset val="238"/>
          </rPr>
          <t xml:space="preserve">
operations loss</t>
        </r>
      </text>
    </comment>
    <comment ref="AJ26" authorId="0" shapeId="0" xr:uid="{3FD8726A-FFCF-4755-A25B-1084A63A0156}">
      <text>
        <r>
          <rPr>
            <b/>
            <sz val="9"/>
            <color indexed="81"/>
            <rFont val="Tahoma"/>
            <family val="2"/>
            <charset val="238"/>
          </rPr>
          <t>Franciszek Kessler:</t>
        </r>
        <r>
          <rPr>
            <sz val="9"/>
            <color indexed="81"/>
            <rFont val="Tahoma"/>
            <family val="2"/>
            <charset val="238"/>
          </rPr>
          <t xml:space="preserve">
47.5-50.5B outlook 
51,242 real wtf</t>
        </r>
      </text>
    </comment>
    <comment ref="AK26" authorId="0" shapeId="0" xr:uid="{9FC6F194-FB2B-47F8-BF25-9C7BA86F8BDE}">
      <text>
        <r>
          <rPr>
            <b/>
            <sz val="9"/>
            <color indexed="81"/>
            <rFont val="Tahoma"/>
            <family val="2"/>
            <charset val="238"/>
          </rPr>
          <t>Franciszek Kessler
59,893M vs est 58.5B</t>
        </r>
      </text>
    </comment>
    <comment ref="AL26" authorId="0" shapeId="0" xr:uid="{D718A467-14E6-4842-95B6-72E434DD1222}">
      <text>
        <r>
          <rPr>
            <b/>
            <sz val="9"/>
            <color indexed="81"/>
            <rFont val="Tahoma"/>
            <family val="2"/>
            <charset val="238"/>
          </rPr>
          <t>Franciszek Kessler:</t>
        </r>
        <r>
          <rPr>
            <sz val="9"/>
            <color indexed="81"/>
            <rFont val="Tahoma"/>
            <family val="2"/>
            <charset val="238"/>
          </rPr>
          <t xml:space="preserve">
56,311 vs est 55,360</t>
        </r>
      </text>
    </comment>
    <comment ref="AL36" authorId="0" shapeId="0" xr:uid="{93F30A09-AAF8-4C05-9CCF-A7EE2FA45005}">
      <text>
        <r>
          <rPr>
            <b/>
            <sz val="9"/>
            <color indexed="81"/>
            <rFont val="Tahoma"/>
            <family val="2"/>
            <charset val="238"/>
          </rPr>
          <t>Franciszek Kessler:</t>
        </r>
        <r>
          <rPr>
            <sz val="9"/>
            <color indexed="81"/>
            <rFont val="Tahoma"/>
            <family val="2"/>
            <charset val="238"/>
          </rPr>
          <t xml:space="preserve">
-5,021 actual </t>
        </r>
      </text>
    </comment>
    <comment ref="BJ36" authorId="0" shapeId="0" xr:uid="{8FF8DF89-C87E-4A1A-A26C-0862C0CCFE57}">
      <text>
        <r>
          <rPr>
            <b/>
            <sz val="9"/>
            <color indexed="81"/>
            <rFont val="Tahoma"/>
            <family val="2"/>
            <charset val="238"/>
          </rPr>
          <t>Franciszek Kessler:</t>
        </r>
        <r>
          <rPr>
            <sz val="9"/>
            <color indexed="81"/>
            <rFont val="Tahoma"/>
            <family val="2"/>
            <charset val="238"/>
          </rPr>
          <t xml:space="preserve">
25,474 actual vs 9,545 non one times</t>
        </r>
      </text>
    </comment>
    <comment ref="AL37" authorId="1" shapeId="0" xr:uid="{634062C4-6901-4852-8BF6-6E4FF13202D3}">
      <text>
        <t xml:space="preserve">[Threaded comment]
Your version of Excel allows you to read this threaded comment; however, any edits to it will get removed if the file is opened in a newer version of Excel. Learn more: https://go.microsoft.com/fwlink/?linkid=870924
Comment:
    26,773 vs est 16,990
</t>
      </text>
    </comment>
    <comment ref="AK38" authorId="0" shapeId="0" xr:uid="{03832594-286E-4A20-A6EF-69DA38B50ADA}">
      <text>
        <r>
          <rPr>
            <b/>
            <sz val="9"/>
            <color indexed="81"/>
            <rFont val="Tahoma"/>
            <family val="2"/>
            <charset val="238"/>
          </rPr>
          <t>Franciszek Kessler:</t>
        </r>
        <r>
          <rPr>
            <sz val="9"/>
            <color indexed="81"/>
            <rFont val="Tahoma"/>
            <family val="2"/>
            <charset val="238"/>
          </rPr>
          <t xml:space="preserve">
9.02 vs 8.2 est</t>
        </r>
      </text>
    </comment>
    <comment ref="AL38" authorId="0" shapeId="0" xr:uid="{C3F42933-D10A-4372-B1D4-C98304A4D9ED}">
      <text>
        <r>
          <rPr>
            <b/>
            <sz val="9"/>
            <color indexed="81"/>
            <rFont val="Tahoma"/>
            <family val="2"/>
            <charset val="238"/>
          </rPr>
          <t>Franciszek Kessler:</t>
        </r>
        <r>
          <rPr>
            <sz val="9"/>
            <color indexed="81"/>
            <rFont val="Tahoma"/>
            <family val="2"/>
            <charset val="238"/>
          </rPr>
          <t xml:space="preserve">
10.57 vs est 6.63!!!</t>
        </r>
      </text>
    </comment>
    <comment ref="BJ38" authorId="0" shapeId="0" xr:uid="{C5BF3B1F-FAE6-4BCB-8060-083D25A2F539}">
      <text>
        <r>
          <rPr>
            <b/>
            <sz val="9"/>
            <color indexed="81"/>
            <rFont val="Tahoma"/>
            <family val="2"/>
            <charset val="238"/>
          </rPr>
          <t>Franciszek Kessler:</t>
        </r>
        <r>
          <rPr>
            <sz val="9"/>
            <color indexed="81"/>
            <rFont val="Tahoma"/>
            <family val="2"/>
            <charset val="238"/>
          </rPr>
          <t xml:space="preserve">
30.3 actual eps excluding tax one off
</t>
        </r>
      </text>
    </comment>
    <comment ref="AK69" authorId="0" shapeId="0" xr:uid="{12AAAF09-DCCF-4907-9317-CB05CD911990}">
      <text>
        <r>
          <rPr>
            <b/>
            <sz val="9"/>
            <color indexed="81"/>
            <rFont val="Tahoma"/>
            <family val="2"/>
            <charset val="238"/>
          </rPr>
          <t>Franciszek Kessler:</t>
        </r>
        <r>
          <rPr>
            <sz val="9"/>
            <color indexed="81"/>
            <rFont val="Tahoma"/>
            <family val="2"/>
            <charset val="238"/>
          </rPr>
          <t xml:space="preserve">
32.5 est vs 36B</t>
        </r>
      </text>
    </comment>
    <comment ref="BJ69" authorId="0" shapeId="0" xr:uid="{B210E57A-FEDE-4122-9507-957019F8A313}">
      <text>
        <r>
          <rPr>
            <b/>
            <sz val="9"/>
            <color indexed="81"/>
            <rFont val="Tahoma"/>
            <family val="2"/>
            <charset val="238"/>
          </rPr>
          <t>Franciszek Kessler:</t>
        </r>
        <r>
          <rPr>
            <sz val="9"/>
            <color indexed="81"/>
            <rFont val="Tahoma"/>
            <family val="2"/>
            <charset val="238"/>
          </rPr>
          <t xml:space="preserve">
116B vs 112 my est</t>
        </r>
      </text>
    </comment>
    <comment ref="BJ80" authorId="0" shapeId="0" xr:uid="{8A5E195C-04B8-4B93-849B-977FB3582A20}">
      <text>
        <r>
          <rPr>
            <b/>
            <sz val="9"/>
            <color indexed="81"/>
            <rFont val="Tahoma"/>
            <family val="2"/>
            <charset val="238"/>
          </rPr>
          <t>Franciszek Kessler:</t>
        </r>
        <r>
          <rPr>
            <sz val="9"/>
            <color indexed="81"/>
            <rFont val="Tahoma"/>
            <family val="2"/>
            <charset val="238"/>
          </rPr>
          <t xml:space="preserve">
2,554M venture distribution
-18,330M equity invest
181 other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2"/>
        </ext>
      </extLst>
    </bk>
  </futureMetadata>
  <valueMetadata count="1">
    <bk>
      <rc t="1" v="0"/>
    </bk>
  </valueMetadata>
</metadata>
</file>

<file path=xl/sharedStrings.xml><?xml version="1.0" encoding="utf-8"?>
<sst xmlns="http://schemas.openxmlformats.org/spreadsheetml/2006/main" count="368" uniqueCount="185">
  <si>
    <t>Price</t>
  </si>
  <si>
    <t>Shares</t>
  </si>
  <si>
    <t>MC</t>
  </si>
  <si>
    <t>Cash</t>
  </si>
  <si>
    <t>Debt</t>
  </si>
  <si>
    <t>EV</t>
  </si>
  <si>
    <t>Q122</t>
  </si>
  <si>
    <t>Q222</t>
  </si>
  <si>
    <t>Q322</t>
  </si>
  <si>
    <t>Q422</t>
  </si>
  <si>
    <t>Q123</t>
  </si>
  <si>
    <t>Q223</t>
  </si>
  <si>
    <t>Q323</t>
  </si>
  <si>
    <t>Q423</t>
  </si>
  <si>
    <t>Q124</t>
  </si>
  <si>
    <t>Main</t>
  </si>
  <si>
    <t>Revenue</t>
  </si>
  <si>
    <t>Cost of revenue</t>
  </si>
  <si>
    <t>R&amp;D</t>
  </si>
  <si>
    <t>G&amp;A</t>
  </si>
  <si>
    <t xml:space="preserve">Net income </t>
  </si>
  <si>
    <t>Other</t>
  </si>
  <si>
    <t>Parnets payable</t>
  </si>
  <si>
    <t>-</t>
  </si>
  <si>
    <t>FCF</t>
  </si>
  <si>
    <t>Gross profit</t>
  </si>
  <si>
    <t>Q224</t>
  </si>
  <si>
    <t>M&amp;S</t>
  </si>
  <si>
    <t>eps</t>
  </si>
  <si>
    <t>s/o</t>
  </si>
  <si>
    <t>tot cost</t>
  </si>
  <si>
    <t>operating profit</t>
  </si>
  <si>
    <t>interest &amp; other</t>
  </si>
  <si>
    <t>tax</t>
  </si>
  <si>
    <t>net inc</t>
  </si>
  <si>
    <t>M usd</t>
  </si>
  <si>
    <t>D&amp;A</t>
  </si>
  <si>
    <t>share comp</t>
  </si>
  <si>
    <t>deferred it</t>
  </si>
  <si>
    <t>impairments</t>
  </si>
  <si>
    <t>data cent abandoned</t>
  </si>
  <si>
    <t>prepaids</t>
  </si>
  <si>
    <t>other ass</t>
  </si>
  <si>
    <t>accrued exp</t>
  </si>
  <si>
    <t>other liab</t>
  </si>
  <si>
    <t>CFFO</t>
  </si>
  <si>
    <t>capex</t>
  </si>
  <si>
    <t>sth like capex</t>
  </si>
  <si>
    <t>CFFI</t>
  </si>
  <si>
    <t>other</t>
  </si>
  <si>
    <t>acquisitions</t>
  </si>
  <si>
    <t>sec s&amp;m</t>
  </si>
  <si>
    <t>sec p</t>
  </si>
  <si>
    <t>CFFA</t>
  </si>
  <si>
    <t>fx</t>
  </si>
  <si>
    <t>cash change</t>
  </si>
  <si>
    <t>cash beg</t>
  </si>
  <si>
    <t>cash end</t>
  </si>
  <si>
    <t>equity tax</t>
  </si>
  <si>
    <t>buybacks</t>
  </si>
  <si>
    <t>dividends paid</t>
  </si>
  <si>
    <t>lt debt issue</t>
  </si>
  <si>
    <t>finance lease</t>
  </si>
  <si>
    <t>Q424</t>
  </si>
  <si>
    <t>Q324</t>
  </si>
  <si>
    <t>Q125</t>
  </si>
  <si>
    <t>up</t>
  </si>
  <si>
    <t xml:space="preserve">ARPP </t>
  </si>
  <si>
    <t xml:space="preserve">DAP </t>
  </si>
  <si>
    <t>ARPP</t>
  </si>
  <si>
    <t>world population</t>
  </si>
  <si>
    <t>new users</t>
  </si>
  <si>
    <t>UAC</t>
  </si>
  <si>
    <t>DAP</t>
  </si>
  <si>
    <t>PPU</t>
  </si>
  <si>
    <t>Q225</t>
  </si>
  <si>
    <t>Q325</t>
  </si>
  <si>
    <t>PP&amp;E</t>
  </si>
  <si>
    <t>reality labs</t>
  </si>
  <si>
    <t>other revenue</t>
  </si>
  <si>
    <t>advertising</t>
  </si>
  <si>
    <t xml:space="preserve">OM </t>
  </si>
  <si>
    <t>GM</t>
  </si>
  <si>
    <t>PM</t>
  </si>
  <si>
    <t>tax rate</t>
  </si>
  <si>
    <t>revenue</t>
  </si>
  <si>
    <t>cause shkreli took out some one time loss of 16B relaity labs</t>
  </si>
  <si>
    <t>headcount</t>
  </si>
  <si>
    <t>Q121</t>
  </si>
  <si>
    <t>Q221</t>
  </si>
  <si>
    <t>Q321</t>
  </si>
  <si>
    <t>Q421</t>
  </si>
  <si>
    <t>Q120</t>
  </si>
  <si>
    <t>Q220</t>
  </si>
  <si>
    <t>Q320</t>
  </si>
  <si>
    <t>Q420</t>
  </si>
  <si>
    <t>EBIT</t>
  </si>
  <si>
    <t>AR</t>
  </si>
  <si>
    <t>AP</t>
  </si>
  <si>
    <t>deferred revenue &amp; deposits</t>
  </si>
  <si>
    <t>DAUs</t>
  </si>
  <si>
    <t>cannot have FB (China, Iran, North Korea, Birma, Russia, Turkmenistan, Uganda)</t>
  </si>
  <si>
    <t>can have FB</t>
  </si>
  <si>
    <t>has FB from those who can</t>
  </si>
  <si>
    <t>grok estimates</t>
  </si>
  <si>
    <t>Q425</t>
  </si>
  <si>
    <t>Q126</t>
  </si>
  <si>
    <t>Q226</t>
  </si>
  <si>
    <t>non marketable equity investments</t>
  </si>
  <si>
    <t>held for sale assets</t>
  </si>
  <si>
    <t>RL loss</t>
  </si>
  <si>
    <t>inc no RL</t>
  </si>
  <si>
    <t>Reality Labs loss</t>
  </si>
  <si>
    <t>CFFO / Rev</t>
  </si>
  <si>
    <t>Q326</t>
  </si>
  <si>
    <t>Q426</t>
  </si>
  <si>
    <t>NTM CFFO</t>
  </si>
  <si>
    <t>DAP (family daily active people) using one of the apps at least once a day</t>
  </si>
  <si>
    <t xml:space="preserve">CFO </t>
  </si>
  <si>
    <t>Susan Li</t>
  </si>
  <si>
    <t>CEO</t>
  </si>
  <si>
    <t>The Zuck</t>
  </si>
  <si>
    <t>ROE</t>
  </si>
  <si>
    <t>equity</t>
  </si>
  <si>
    <t>cash</t>
  </si>
  <si>
    <t xml:space="preserve">CA </t>
  </si>
  <si>
    <t>nm sec</t>
  </si>
  <si>
    <t>m sec</t>
  </si>
  <si>
    <t>op lease</t>
  </si>
  <si>
    <t>goodwill</t>
  </si>
  <si>
    <t>oa</t>
  </si>
  <si>
    <t>ASSETS</t>
  </si>
  <si>
    <t>CL</t>
  </si>
  <si>
    <t>LT DEBT</t>
  </si>
  <si>
    <t>LT TAX</t>
  </si>
  <si>
    <t>OL</t>
  </si>
  <si>
    <t>LIABILITIES</t>
  </si>
  <si>
    <t>SE+L</t>
  </si>
  <si>
    <t xml:space="preserve">SE </t>
  </si>
  <si>
    <t>comm stock</t>
  </si>
  <si>
    <t>paid-in capital</t>
  </si>
  <si>
    <t>acc loss</t>
  </si>
  <si>
    <t>RE</t>
  </si>
  <si>
    <t>IC</t>
  </si>
  <si>
    <t>ROIC</t>
  </si>
  <si>
    <t>OP IC</t>
  </si>
  <si>
    <t>OP ROIC</t>
  </si>
  <si>
    <t>fixed ass</t>
  </si>
  <si>
    <t>inventories</t>
  </si>
  <si>
    <t>Buffett</t>
  </si>
  <si>
    <t>NWC</t>
  </si>
  <si>
    <t>OP IC + NWC</t>
  </si>
  <si>
    <t>debt</t>
  </si>
  <si>
    <t>Q127</t>
  </si>
  <si>
    <t>Q227</t>
  </si>
  <si>
    <t>CFFO YoY</t>
  </si>
  <si>
    <t>FCF YoY</t>
  </si>
  <si>
    <t>Q419</t>
  </si>
  <si>
    <t>Q319</t>
  </si>
  <si>
    <t>Q219</t>
  </si>
  <si>
    <t>Q119</t>
  </si>
  <si>
    <t>Q418</t>
  </si>
  <si>
    <t>Q318</t>
  </si>
  <si>
    <t>Q218</t>
  </si>
  <si>
    <t>Q118</t>
  </si>
  <si>
    <t>Q417</t>
  </si>
  <si>
    <t>terminal</t>
  </si>
  <si>
    <t>discount</t>
  </si>
  <si>
    <t>NPV</t>
  </si>
  <si>
    <t>10Y EPS CAGR %</t>
  </si>
  <si>
    <t>EV/NI</t>
  </si>
  <si>
    <t>CFO</t>
  </si>
  <si>
    <t xml:space="preserve">COO </t>
  </si>
  <si>
    <t>Javier Olivan</t>
  </si>
  <si>
    <t>BOD</t>
  </si>
  <si>
    <t>Andreesen, Alford, Houston, Kiellefer, Kimmitt, Sandberg, Travis, Xu</t>
  </si>
  <si>
    <t>IR</t>
  </si>
  <si>
    <t xml:space="preserve">Deborah Crawford </t>
  </si>
  <si>
    <t>investor@fb.com</t>
  </si>
  <si>
    <t xml:space="preserve">founded </t>
  </si>
  <si>
    <t>IPO</t>
  </si>
  <si>
    <t>HQ Menlo Park, CA</t>
  </si>
  <si>
    <t>PS</t>
  </si>
  <si>
    <t>Chief AI</t>
  </si>
  <si>
    <t>Alexandr 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</si>
</sst>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_([$$-409]* \(#,##0.00\);_([$$-409]* &quot;-&quot;??_);_(@_)"/>
    <numFmt numFmtId="165" formatCode="&quot;$&quot;#,##0.00"/>
    <numFmt numFmtId="166" formatCode="0.0%"/>
  </numFmts>
  <fonts count="15" x14ac:knownFonts="1">
    <font>
      <sz val="11"/>
      <color theme="1"/>
      <name val="Calibri"/>
      <family val="2"/>
      <charset val="238"/>
      <scheme val="minor"/>
    </font>
    <font>
      <sz val="10"/>
      <color theme="1"/>
      <name val="arial"/>
      <family val="2"/>
      <charset val="238"/>
    </font>
    <font>
      <sz val="10"/>
      <color theme="1"/>
      <name val="arial"/>
      <family val="2"/>
      <charset val="238"/>
    </font>
    <font>
      <sz val="10"/>
      <color theme="1"/>
      <name val="Arial"/>
      <family val="2"/>
      <charset val="238"/>
    </font>
    <font>
      <sz val="10"/>
      <color theme="1"/>
      <name val="Arial"/>
      <family val="2"/>
      <charset val="238"/>
    </font>
    <font>
      <sz val="10"/>
      <color theme="1"/>
      <name val="Arial"/>
      <family val="2"/>
      <charset val="238"/>
    </font>
    <font>
      <sz val="8"/>
      <name val="Calibri"/>
      <family val="2"/>
      <charset val="238"/>
      <scheme val="minor"/>
    </font>
    <font>
      <u/>
      <sz val="11"/>
      <color theme="10"/>
      <name val="Calibri"/>
      <family val="2"/>
      <charset val="238"/>
      <scheme val="minor"/>
    </font>
    <font>
      <b/>
      <sz val="10"/>
      <color theme="1"/>
      <name val="Arial"/>
      <family val="2"/>
      <charset val="238"/>
    </font>
    <font>
      <sz val="10"/>
      <color rgb="FF000000"/>
      <name val="Arial"/>
      <family val="2"/>
      <charset val="238"/>
    </font>
    <font>
      <u/>
      <sz val="10"/>
      <color theme="10"/>
      <name val="Arial"/>
      <family val="2"/>
      <charset val="238"/>
    </font>
    <font>
      <sz val="9"/>
      <color indexed="81"/>
      <name val="Tahoma"/>
      <family val="2"/>
      <charset val="238"/>
    </font>
    <font>
      <b/>
      <sz val="9"/>
      <color indexed="81"/>
      <name val="Tahoma"/>
      <family val="2"/>
      <charset val="238"/>
    </font>
    <font>
      <sz val="10"/>
      <color rgb="FFFF0000"/>
      <name val="Arial"/>
      <family val="2"/>
      <charset val="238"/>
    </font>
    <font>
      <sz val="8"/>
      <color theme="1"/>
      <name val="arial"/>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37">
    <xf numFmtId="0" fontId="0" fillId="0" borderId="0" xfId="0"/>
    <xf numFmtId="0" fontId="9" fillId="0" borderId="0" xfId="0" applyFont="1"/>
    <xf numFmtId="0" fontId="10" fillId="0" borderId="0" xfId="1" applyFont="1" applyAlignment="1">
      <alignment horizontal="center"/>
    </xf>
    <xf numFmtId="0" fontId="5" fillId="0" borderId="0" xfId="0" applyFont="1"/>
    <xf numFmtId="0" fontId="8" fillId="0" borderId="0" xfId="0" applyFont="1"/>
    <xf numFmtId="3" fontId="8" fillId="0" borderId="0" xfId="0" applyNumberFormat="1" applyFont="1"/>
    <xf numFmtId="3" fontId="5" fillId="0" borderId="0" xfId="0" applyNumberFormat="1" applyFont="1"/>
    <xf numFmtId="9" fontId="5" fillId="0" borderId="0" xfId="0" applyNumberFormat="1" applyFont="1"/>
    <xf numFmtId="164" fontId="5" fillId="0" borderId="0" xfId="0" applyNumberFormat="1" applyFont="1"/>
    <xf numFmtId="0" fontId="4" fillId="0" borderId="0" xfId="0" applyFont="1"/>
    <xf numFmtId="9" fontId="4" fillId="0" borderId="0" xfId="0" applyNumberFormat="1" applyFont="1"/>
    <xf numFmtId="3" fontId="4" fillId="0" borderId="0" xfId="0" applyNumberFormat="1" applyFont="1"/>
    <xf numFmtId="2" fontId="5" fillId="0" borderId="0" xfId="0" applyNumberFormat="1" applyFont="1"/>
    <xf numFmtId="0" fontId="3" fillId="0" borderId="0" xfId="0" applyFont="1"/>
    <xf numFmtId="3" fontId="3" fillId="0" borderId="0" xfId="0" applyNumberFormat="1" applyFont="1"/>
    <xf numFmtId="4" fontId="5" fillId="0" borderId="0" xfId="0" applyNumberFormat="1" applyFont="1"/>
    <xf numFmtId="4" fontId="3" fillId="0" borderId="0" xfId="0" applyNumberFormat="1" applyFont="1"/>
    <xf numFmtId="9" fontId="3" fillId="0" borderId="0" xfId="0" applyNumberFormat="1" applyFont="1"/>
    <xf numFmtId="2" fontId="3" fillId="0" borderId="0" xfId="0" applyNumberFormat="1" applyFont="1"/>
    <xf numFmtId="2" fontId="4" fillId="0" borderId="0" xfId="0" applyNumberFormat="1" applyFont="1"/>
    <xf numFmtId="10" fontId="5" fillId="0" borderId="0" xfId="0" applyNumberFormat="1" applyFont="1"/>
    <xf numFmtId="1" fontId="5" fillId="0" borderId="0" xfId="0" applyNumberFormat="1" applyFont="1"/>
    <xf numFmtId="165" fontId="5" fillId="0" borderId="0" xfId="0" applyNumberFormat="1" applyFont="1"/>
    <xf numFmtId="0" fontId="2" fillId="0" borderId="0" xfId="0" applyFont="1"/>
    <xf numFmtId="3" fontId="2" fillId="0" borderId="0" xfId="0" applyNumberFormat="1" applyFont="1"/>
    <xf numFmtId="9" fontId="2" fillId="0" borderId="0" xfId="0" applyNumberFormat="1" applyFont="1"/>
    <xf numFmtId="2" fontId="2" fillId="0" borderId="0" xfId="0" applyNumberFormat="1" applyFont="1"/>
    <xf numFmtId="166" fontId="5" fillId="0" borderId="0" xfId="0" applyNumberFormat="1" applyFont="1"/>
    <xf numFmtId="3" fontId="13" fillId="0" borderId="0" xfId="0" applyNumberFormat="1" applyFont="1"/>
    <xf numFmtId="0" fontId="1" fillId="0" borderId="0" xfId="0" applyFont="1"/>
    <xf numFmtId="3" fontId="1" fillId="0" borderId="0" xfId="0" applyNumberFormat="1" applyFont="1"/>
    <xf numFmtId="9" fontId="14" fillId="0" borderId="0" xfId="0" applyNumberFormat="1" applyFont="1" applyAlignment="1">
      <alignment vertical="top"/>
    </xf>
    <xf numFmtId="3" fontId="5" fillId="0" borderId="0" xfId="0" applyNumberFormat="1" applyFont="1" applyAlignment="1">
      <alignment vertical="top"/>
    </xf>
    <xf numFmtId="0" fontId="5" fillId="0" borderId="0" xfId="0" applyFont="1" applyAlignment="1">
      <alignment vertical="top"/>
    </xf>
    <xf numFmtId="9" fontId="1" fillId="0" borderId="0" xfId="0" applyNumberFormat="1" applyFont="1"/>
    <xf numFmtId="166" fontId="14" fillId="0" borderId="0" xfId="0" applyNumberFormat="1" applyFont="1"/>
    <xf numFmtId="0" fontId="10"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10/relationships/person" Target="persons/perso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38</xdr:col>
      <xdr:colOff>16160</xdr:colOff>
      <xdr:row>1</xdr:row>
      <xdr:rowOff>4995</xdr:rowOff>
    </xdr:from>
    <xdr:to>
      <xdr:col>38</xdr:col>
      <xdr:colOff>16160</xdr:colOff>
      <xdr:row>210</xdr:row>
      <xdr:rowOff>13885</xdr:rowOff>
    </xdr:to>
    <xdr:cxnSp macro="">
      <xdr:nvCxnSpPr>
        <xdr:cNvPr id="3" name="Straight Connector 2">
          <a:extLst>
            <a:ext uri="{FF2B5EF4-FFF2-40B4-BE49-F238E27FC236}">
              <a16:creationId xmlns:a16="http://schemas.microsoft.com/office/drawing/2014/main" id="{AB974397-2621-224F-51AE-B64322E22395}"/>
            </a:ext>
          </a:extLst>
        </xdr:cNvPr>
        <xdr:cNvCxnSpPr/>
      </xdr:nvCxnSpPr>
      <xdr:spPr>
        <a:xfrm>
          <a:off x="23724299" y="170647"/>
          <a:ext cx="0" cy="339675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11808</xdr:colOff>
      <xdr:row>0</xdr:row>
      <xdr:rowOff>148936</xdr:rowOff>
    </xdr:from>
    <xdr:to>
      <xdr:col>62</xdr:col>
      <xdr:colOff>11808</xdr:colOff>
      <xdr:row>209</xdr:row>
      <xdr:rowOff>157826</xdr:rowOff>
    </xdr:to>
    <xdr:cxnSp macro="">
      <xdr:nvCxnSpPr>
        <xdr:cNvPr id="5" name="Straight Connector 4">
          <a:extLst>
            <a:ext uri="{FF2B5EF4-FFF2-40B4-BE49-F238E27FC236}">
              <a16:creationId xmlns:a16="http://schemas.microsoft.com/office/drawing/2014/main" id="{B0EE9528-761F-4EF3-BEE3-E462C1297277}"/>
            </a:ext>
          </a:extLst>
        </xdr:cNvPr>
        <xdr:cNvCxnSpPr/>
      </xdr:nvCxnSpPr>
      <xdr:spPr>
        <a:xfrm>
          <a:off x="26549286" y="148936"/>
          <a:ext cx="0" cy="256849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Franciszek Kessler" id="{F973F440-822C-4A3B-8249-E4A688A6491B}" userId="a81685cd5063f9d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https://www.bing.com/financeapi/forcetrigger?t=a1slm7&amp;q=XNAS%3aMETA&amp;form=skydnc</v>
    <v>Learn more on Bing</v>
  </rv>
  <rv s="1">
    <v>en-US</v>
    <v>a1slm7</v>
    <v>268435456</v>
    <v>1</v>
    <v>Powered by Refinitiv</v>
    <v>0</v>
    <v>META PLATFORMS, INC. (XNAS:META)</v>
    <v>2</v>
    <v>3</v>
    <v>Finance</v>
    <v>4</v>
    <v>796.25</v>
    <v>520.26</v>
    <v>1.2418</v>
    <v>9.64</v>
    <v>-4.1929999999999997E-3</v>
    <v>1.6983999999999999E-2</v>
    <v>-2.42</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77986</v>
    <v>Nasdaq Stock Market</v>
    <v>XNAS</v>
    <v>XNAS</v>
    <v>1 Meta Way, MENLO PARK, CA, 94025 US</v>
    <v>580.21500000000003</v>
    <v>Software &amp; IT Services</v>
    <v>Stock</v>
    <v>46191.99993623828</v>
    <v>0</v>
    <v>563.1</v>
    <v>1465228524060</v>
    <v>META PLATFORMS, INC.</v>
    <v>META PLATFORMS, INC.</v>
    <v>572.82000000000005</v>
    <v>17.215599999999998</v>
    <v>567.58000000000004</v>
    <v>577.22</v>
    <v>574.79999999999995</v>
    <v>2538423000</v>
    <v>META</v>
    <v>META PLATFORMS, INC. (XNAS:META)</v>
    <v>28824630</v>
    <v>17180355</v>
    <v>2004</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L37" dT="2026-04-30T07:41:43.76" personId="{F973F440-822C-4A3B-8249-E4A688A6491B}" id="{634062C4-6901-4852-8BF6-6E4FF13202D3}">
    <text xml:space="preserve">26,773 vs est 16,990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investor@fb.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F600-D258-4A06-817C-411221231C5A}">
  <dimension ref="C2:P44"/>
  <sheetViews>
    <sheetView showGridLines="0" tabSelected="1" topLeftCell="J1" zoomScale="115" zoomScaleNormal="115" workbookViewId="0">
      <selection activeCell="M18" sqref="M18"/>
    </sheetView>
  </sheetViews>
  <sheetFormatPr defaultColWidth="8.88671875" defaultRowHeight="13.2" x14ac:dyDescent="0.25"/>
  <cols>
    <col min="1" max="1" width="5" style="3" customWidth="1"/>
    <col min="2" max="3" width="8.88671875" style="3"/>
    <col min="4" max="4" width="8.88671875" style="3" customWidth="1"/>
    <col min="5" max="5" width="9.109375" style="3" bestFit="1" customWidth="1"/>
    <col min="6" max="10" width="9.33203125" style="3" bestFit="1" customWidth="1"/>
    <col min="11" max="16384" width="8.88671875" style="3"/>
  </cols>
  <sheetData>
    <row r="2" spans="3:16" x14ac:dyDescent="0.25">
      <c r="M2" s="29" t="s">
        <v>179</v>
      </c>
      <c r="N2" s="3">
        <v>2004</v>
      </c>
    </row>
    <row r="3" spans="3:16" x14ac:dyDescent="0.25">
      <c r="M3" s="29" t="s">
        <v>180</v>
      </c>
      <c r="N3" s="3">
        <v>2012</v>
      </c>
    </row>
    <row r="5" spans="3:16" x14ac:dyDescent="0.25">
      <c r="D5" s="3" t="e" vm="1">
        <v>#VALUE!</v>
      </c>
      <c r="M5" s="29" t="s">
        <v>181</v>
      </c>
    </row>
    <row r="7" spans="3:16" x14ac:dyDescent="0.25">
      <c r="D7" s="3" t="s">
        <v>13</v>
      </c>
      <c r="E7" s="9" t="s">
        <v>63</v>
      </c>
      <c r="F7" s="13" t="s">
        <v>65</v>
      </c>
      <c r="G7" s="23" t="s">
        <v>75</v>
      </c>
      <c r="H7" s="23" t="s">
        <v>75</v>
      </c>
      <c r="I7" s="29" t="s">
        <v>105</v>
      </c>
      <c r="J7" s="29" t="s">
        <v>106</v>
      </c>
    </row>
    <row r="8" spans="3:16" x14ac:dyDescent="0.25">
      <c r="C8" s="3" t="s">
        <v>0</v>
      </c>
      <c r="D8" s="8">
        <v>325</v>
      </c>
      <c r="E8" s="8">
        <v>549</v>
      </c>
      <c r="F8" s="8">
        <v>695.21</v>
      </c>
      <c r="G8" s="8">
        <v>775</v>
      </c>
      <c r="H8" s="8">
        <v>661</v>
      </c>
      <c r="I8" s="8">
        <v>670</v>
      </c>
      <c r="J8" s="3">
        <v>577</v>
      </c>
      <c r="M8" s="23" t="s">
        <v>118</v>
      </c>
      <c r="N8" s="23" t="s">
        <v>119</v>
      </c>
    </row>
    <row r="9" spans="3:16" x14ac:dyDescent="0.25">
      <c r="C9" s="3" t="s">
        <v>1</v>
      </c>
      <c r="D9" s="6">
        <v>2524.4490000000001</v>
      </c>
      <c r="E9" s="6">
        <v>2524.4490000000001</v>
      </c>
      <c r="F9" s="6">
        <v>2527</v>
      </c>
      <c r="G9" s="6">
        <v>2518</v>
      </c>
      <c r="H9" s="6">
        <f>2177.889269+342.638328</f>
        <v>2520.5275969999998</v>
      </c>
      <c r="I9" s="6">
        <v>2525</v>
      </c>
      <c r="J9" s="6">
        <f>2196.045588+342.377716</f>
        <v>2538.4233039999999</v>
      </c>
      <c r="M9" s="23" t="s">
        <v>120</v>
      </c>
      <c r="N9" s="23" t="s">
        <v>121</v>
      </c>
    </row>
    <row r="10" spans="3:16" x14ac:dyDescent="0.25">
      <c r="C10" s="3" t="s">
        <v>2</v>
      </c>
      <c r="D10" s="6">
        <f>D9*D8</f>
        <v>820445.92500000005</v>
      </c>
      <c r="E10" s="6">
        <v>1385922.5009999999</v>
      </c>
      <c r="F10" s="6">
        <f>+F9*F8</f>
        <v>1756795.6700000002</v>
      </c>
      <c r="G10" s="6">
        <f>+G9*G8</f>
        <v>1951450</v>
      </c>
      <c r="H10" s="6">
        <f>+H9*H8</f>
        <v>1666068.741617</v>
      </c>
      <c r="I10" s="6">
        <f>+I9*I8</f>
        <v>1691750</v>
      </c>
      <c r="J10" s="6">
        <f>+J9*J8</f>
        <v>1464670.2464079999</v>
      </c>
      <c r="M10" s="29" t="s">
        <v>172</v>
      </c>
      <c r="N10" s="29" t="s">
        <v>173</v>
      </c>
    </row>
    <row r="11" spans="3:16" x14ac:dyDescent="0.25">
      <c r="C11" s="3" t="s">
        <v>3</v>
      </c>
      <c r="D11" s="6">
        <f>41862+23541+16169</f>
        <v>81572</v>
      </c>
      <c r="E11" s="6">
        <v>77815</v>
      </c>
      <c r="F11" s="6">
        <f>28750+41480+6168</f>
        <v>76398</v>
      </c>
      <c r="G11" s="6">
        <f>12005+35066+21988</f>
        <v>69059</v>
      </c>
      <c r="H11" s="6">
        <f>10187+34261+25074</f>
        <v>69522</v>
      </c>
      <c r="I11" s="6">
        <f>35873+45719</f>
        <v>81592</v>
      </c>
      <c r="J11" s="6">
        <f>+Model!AL102</f>
        <v>81180</v>
      </c>
    </row>
    <row r="12" spans="3:16" x14ac:dyDescent="0.25">
      <c r="C12" s="3" t="s">
        <v>4</v>
      </c>
      <c r="D12" s="6">
        <f>4849+863+18385+1623</f>
        <v>25720</v>
      </c>
      <c r="E12" s="6">
        <v>28826</v>
      </c>
      <c r="F12" s="6">
        <v>28829</v>
      </c>
      <c r="G12" s="6">
        <v>28832</v>
      </c>
      <c r="H12" s="6">
        <v>28834</v>
      </c>
      <c r="I12" s="6">
        <v>58744</v>
      </c>
      <c r="J12" s="6">
        <f>+Model!AL103</f>
        <v>58748</v>
      </c>
      <c r="M12" s="29" t="s">
        <v>174</v>
      </c>
      <c r="N12" s="29" t="s">
        <v>175</v>
      </c>
    </row>
    <row r="13" spans="3:16" x14ac:dyDescent="0.25">
      <c r="C13" s="3" t="s">
        <v>5</v>
      </c>
      <c r="D13" s="6">
        <f>D10-D11+D12</f>
        <v>764593.92500000005</v>
      </c>
      <c r="E13" s="6">
        <v>1336933.5009999999</v>
      </c>
      <c r="F13" s="6">
        <f>+F10+F12-F11</f>
        <v>1709226.6700000002</v>
      </c>
      <c r="G13" s="6">
        <f>+G10+G12-G11</f>
        <v>1911223</v>
      </c>
      <c r="H13" s="6">
        <f>+H10+H12-H11</f>
        <v>1625380.741617</v>
      </c>
      <c r="I13" s="6">
        <f>+I10+I12-I11</f>
        <v>1668902</v>
      </c>
      <c r="J13" s="6">
        <f>+J10+J12-J11</f>
        <v>1442238.2464079999</v>
      </c>
      <c r="M13" s="29" t="s">
        <v>176</v>
      </c>
      <c r="N13" s="29" t="s">
        <v>177</v>
      </c>
      <c r="P13" s="36" t="s">
        <v>178</v>
      </c>
    </row>
    <row r="14" spans="3:16" x14ac:dyDescent="0.25">
      <c r="J14" s="6"/>
    </row>
    <row r="15" spans="3:16" x14ac:dyDescent="0.25">
      <c r="C15" s="13" t="s">
        <v>77</v>
      </c>
      <c r="F15" s="6">
        <v>133567</v>
      </c>
      <c r="G15" s="6">
        <v>147039</v>
      </c>
      <c r="H15" s="6">
        <v>160270</v>
      </c>
      <c r="I15" s="6">
        <v>176400</v>
      </c>
      <c r="J15" s="6">
        <v>194776</v>
      </c>
    </row>
    <row r="16" spans="3:16" x14ac:dyDescent="0.25">
      <c r="C16" s="13"/>
      <c r="F16" s="6"/>
    </row>
    <row r="17" spans="3:14" x14ac:dyDescent="0.25">
      <c r="C17" s="13"/>
      <c r="F17" s="6"/>
      <c r="M17" s="29" t="s">
        <v>183</v>
      </c>
      <c r="N17" s="29" t="s">
        <v>184</v>
      </c>
    </row>
    <row r="18" spans="3:14" x14ac:dyDescent="0.25">
      <c r="F18" s="13" t="s">
        <v>86</v>
      </c>
    </row>
    <row r="19" spans="3:14" x14ac:dyDescent="0.25">
      <c r="C19" s="13" t="s">
        <v>34</v>
      </c>
      <c r="F19" s="6">
        <v>83000</v>
      </c>
      <c r="G19" s="6">
        <v>71507</v>
      </c>
      <c r="H19" s="6">
        <v>74882</v>
      </c>
      <c r="I19" s="6">
        <v>76387</v>
      </c>
      <c r="J19" s="6">
        <v>78451</v>
      </c>
    </row>
    <row r="20" spans="3:14" x14ac:dyDescent="0.25">
      <c r="C20" s="23" t="s">
        <v>110</v>
      </c>
      <c r="F20" s="6"/>
      <c r="G20" s="6">
        <f>-4530*4</f>
        <v>-18120</v>
      </c>
      <c r="H20" s="6">
        <f>-4390*4</f>
        <v>-17560</v>
      </c>
      <c r="I20" s="6">
        <v>-19193</v>
      </c>
      <c r="J20" s="6">
        <v>-19011</v>
      </c>
    </row>
    <row r="21" spans="3:14" x14ac:dyDescent="0.25">
      <c r="C21" s="23" t="s">
        <v>111</v>
      </c>
      <c r="F21" s="6"/>
      <c r="G21" s="6">
        <f>+G19-G20</f>
        <v>89627</v>
      </c>
      <c r="H21" s="6">
        <f>+H19-H20</f>
        <v>92442</v>
      </c>
      <c r="I21" s="6">
        <f>+I19-I20</f>
        <v>95580</v>
      </c>
      <c r="J21" s="6">
        <f>+J19-J20</f>
        <v>97462</v>
      </c>
    </row>
    <row r="22" spans="3:14" x14ac:dyDescent="0.25">
      <c r="C22" s="29" t="s">
        <v>170</v>
      </c>
      <c r="F22" s="15"/>
      <c r="G22" s="15">
        <f>+G13/G21</f>
        <v>21.324188023698216</v>
      </c>
      <c r="H22" s="15">
        <f>+H13/H21</f>
        <v>17.582708526611281</v>
      </c>
      <c r="I22" s="15">
        <f>+I13/I21</f>
        <v>17.460786775476041</v>
      </c>
      <c r="J22" s="15">
        <f>+J13/J21</f>
        <v>14.797954550573555</v>
      </c>
    </row>
    <row r="23" spans="3:14" x14ac:dyDescent="0.25">
      <c r="C23" s="23"/>
      <c r="F23" s="15"/>
      <c r="G23" s="15"/>
      <c r="H23" s="15"/>
      <c r="I23" s="15"/>
    </row>
    <row r="24" spans="3:14" x14ac:dyDescent="0.25">
      <c r="C24" s="23"/>
      <c r="F24" s="15"/>
      <c r="G24" s="15"/>
      <c r="H24" s="15"/>
      <c r="I24" s="15"/>
    </row>
    <row r="25" spans="3:14" x14ac:dyDescent="0.25">
      <c r="C25" s="13"/>
      <c r="F25" s="6"/>
      <c r="G25" s="6"/>
      <c r="I25" s="6"/>
    </row>
    <row r="26" spans="3:14" x14ac:dyDescent="0.25">
      <c r="F26" s="12"/>
      <c r="I26" s="6"/>
      <c r="J26" s="12"/>
      <c r="K26" s="12"/>
    </row>
    <row r="27" spans="3:14" x14ac:dyDescent="0.25">
      <c r="F27" s="12"/>
    </row>
    <row r="28" spans="3:14" x14ac:dyDescent="0.25">
      <c r="F28" s="12"/>
    </row>
    <row r="29" spans="3:14" x14ac:dyDescent="0.25">
      <c r="C29" s="9" t="s">
        <v>45</v>
      </c>
      <c r="E29" s="6">
        <v>91378</v>
      </c>
      <c r="F29" s="6">
        <v>96158</v>
      </c>
      <c r="G29" s="6">
        <v>101889</v>
      </c>
      <c r="H29" s="6">
        <v>107624</v>
      </c>
      <c r="I29" s="6">
        <v>115800</v>
      </c>
      <c r="J29" s="6">
        <v>124000</v>
      </c>
    </row>
    <row r="30" spans="3:14" x14ac:dyDescent="0.25">
      <c r="E30" s="12">
        <f t="shared" ref="E30:J30" si="0">+E13/E29</f>
        <v>14.630802830002844</v>
      </c>
      <c r="F30" s="12">
        <f t="shared" si="0"/>
        <v>17.775189479814475</v>
      </c>
      <c r="G30" s="12">
        <f t="shared" si="0"/>
        <v>18.757893393791282</v>
      </c>
      <c r="H30" s="12">
        <f t="shared" si="0"/>
        <v>15.102400408988702</v>
      </c>
      <c r="I30" s="12">
        <f t="shared" si="0"/>
        <v>14.411934369602763</v>
      </c>
      <c r="J30" s="12">
        <f t="shared" si="0"/>
        <v>11.630953600064515</v>
      </c>
    </row>
    <row r="32" spans="3:14" x14ac:dyDescent="0.25">
      <c r="C32" s="9" t="s">
        <v>24</v>
      </c>
      <c r="E32" s="6">
        <v>54122</v>
      </c>
      <c r="F32" s="6">
        <v>52361</v>
      </c>
      <c r="G32" s="6">
        <v>49727</v>
      </c>
      <c r="H32" s="6">
        <v>44891</v>
      </c>
      <c r="I32" s="6">
        <v>46109</v>
      </c>
      <c r="J32" s="6">
        <v>48253</v>
      </c>
    </row>
    <row r="33" spans="3:10" x14ac:dyDescent="0.25">
      <c r="E33" s="12">
        <f t="shared" ref="E33:J33" si="1">+E13/E32</f>
        <v>24.702219079117548</v>
      </c>
      <c r="F33" s="12">
        <f t="shared" si="1"/>
        <v>32.643125035809099</v>
      </c>
      <c r="G33" s="12">
        <f t="shared" si="1"/>
        <v>38.434311339915944</v>
      </c>
      <c r="H33" s="12">
        <f t="shared" si="1"/>
        <v>36.207274099864115</v>
      </c>
      <c r="I33" s="12">
        <f t="shared" si="1"/>
        <v>36.194712529007354</v>
      </c>
      <c r="J33" s="12">
        <f t="shared" si="1"/>
        <v>29.889089723084574</v>
      </c>
    </row>
    <row r="36" spans="3:10" x14ac:dyDescent="0.25">
      <c r="C36" s="13" t="s">
        <v>73</v>
      </c>
      <c r="E36" s="11">
        <f>3.35*1000</f>
        <v>3350</v>
      </c>
      <c r="H36" s="6">
        <v>3540</v>
      </c>
      <c r="I36" s="11">
        <v>3580</v>
      </c>
    </row>
    <row r="37" spans="3:10" x14ac:dyDescent="0.25">
      <c r="C37" s="13" t="s">
        <v>74</v>
      </c>
      <c r="E37" s="6">
        <f>+E10/E36</f>
        <v>413.7082092537313</v>
      </c>
      <c r="H37" s="6">
        <f>+H10/H36</f>
        <v>470.64088746242936</v>
      </c>
      <c r="I37" s="6">
        <f>+I10/I36</f>
        <v>472.5558659217877</v>
      </c>
    </row>
    <row r="38" spans="3:10" x14ac:dyDescent="0.25">
      <c r="C38" s="13" t="s">
        <v>69</v>
      </c>
      <c r="E38" s="15">
        <v>49.63</v>
      </c>
      <c r="H38" s="15">
        <v>54.72</v>
      </c>
      <c r="I38" s="15">
        <v>54.72</v>
      </c>
    </row>
    <row r="43" spans="3:10" x14ac:dyDescent="0.25">
      <c r="C43" s="23" t="s">
        <v>116</v>
      </c>
      <c r="H43" s="6">
        <v>128983</v>
      </c>
      <c r="I43" s="6">
        <v>131340</v>
      </c>
    </row>
    <row r="44" spans="3:10" x14ac:dyDescent="0.25">
      <c r="H44" s="12">
        <f>+H13/H43</f>
        <v>12.601511374498966</v>
      </c>
      <c r="I44" s="12">
        <f>+I13/I43</f>
        <v>12.706730622811024</v>
      </c>
    </row>
  </sheetData>
  <hyperlinks>
    <hyperlink ref="P13" r:id="rId1" xr:uid="{2311A2A4-1BF0-4E61-A3E0-9E265D6C1F53}"/>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3057-3870-4DFD-8E06-88FDDED23778}">
  <dimension ref="A1:FP178"/>
  <sheetViews>
    <sheetView showGridLines="0" zoomScale="115" zoomScaleNormal="115" workbookViewId="0">
      <pane xSplit="2" ySplit="2" topLeftCell="BF12" activePane="bottomRight" state="frozen"/>
      <selection activeCell="J12" sqref="J12"/>
      <selection pane="topRight" activeCell="J12" sqref="J12"/>
      <selection pane="bottomLeft" activeCell="J12" sqref="J12"/>
      <selection pane="bottomRight" activeCell="BS48" sqref="BS48"/>
    </sheetView>
  </sheetViews>
  <sheetFormatPr defaultColWidth="8.88671875" defaultRowHeight="13.2" x14ac:dyDescent="0.25"/>
  <cols>
    <col min="1" max="1" width="4.6640625" style="3" customWidth="1"/>
    <col min="2" max="2" width="20.6640625" style="3" customWidth="1"/>
    <col min="3" max="22" width="8.88671875" style="3" customWidth="1"/>
    <col min="23" max="23" width="9" style="3" bestFit="1" customWidth="1"/>
    <col min="24" max="25" width="8.88671875" style="3"/>
    <col min="26" max="27" width="9" style="3" bestFit="1" customWidth="1"/>
    <col min="28" max="29" width="8.88671875" style="3"/>
    <col min="30" max="30" width="9" style="3" bestFit="1" customWidth="1"/>
    <col min="31" max="54" width="8.88671875" style="3"/>
    <col min="55" max="62" width="9" style="3" bestFit="1" customWidth="1"/>
    <col min="63" max="63" width="9" style="3" customWidth="1"/>
    <col min="64" max="76" width="9" style="3" bestFit="1" customWidth="1"/>
    <col min="77" max="77" width="9.33203125" style="3" bestFit="1" customWidth="1"/>
    <col min="78" max="172" width="9" style="3" bestFit="1" customWidth="1"/>
    <col min="173" max="16384" width="8.88671875" style="3"/>
  </cols>
  <sheetData>
    <row r="1" spans="1:172" x14ac:dyDescent="0.25">
      <c r="A1" s="2" t="s">
        <v>15</v>
      </c>
    </row>
    <row r="2" spans="1:172" x14ac:dyDescent="0.25">
      <c r="B2" s="9" t="s">
        <v>35</v>
      </c>
      <c r="C2" s="13"/>
      <c r="D2" s="13"/>
      <c r="E2" s="29" t="s">
        <v>165</v>
      </c>
      <c r="F2" s="29" t="s">
        <v>164</v>
      </c>
      <c r="G2" s="29" t="s">
        <v>163</v>
      </c>
      <c r="H2" s="29" t="s">
        <v>162</v>
      </c>
      <c r="I2" s="29" t="s">
        <v>161</v>
      </c>
      <c r="J2" s="29" t="s">
        <v>160</v>
      </c>
      <c r="K2" s="29" t="s">
        <v>159</v>
      </c>
      <c r="L2" s="29" t="s">
        <v>158</v>
      </c>
      <c r="M2" s="29" t="s">
        <v>157</v>
      </c>
      <c r="N2" s="13" t="s">
        <v>92</v>
      </c>
      <c r="O2" s="13" t="s">
        <v>93</v>
      </c>
      <c r="P2" s="13" t="s">
        <v>94</v>
      </c>
      <c r="Q2" s="13" t="s">
        <v>95</v>
      </c>
      <c r="R2" s="13" t="s">
        <v>88</v>
      </c>
      <c r="S2" s="13" t="s">
        <v>89</v>
      </c>
      <c r="T2" s="13" t="s">
        <v>90</v>
      </c>
      <c r="U2" s="13" t="s">
        <v>91</v>
      </c>
      <c r="V2" s="3" t="s">
        <v>6</v>
      </c>
      <c r="W2" s="3" t="s">
        <v>7</v>
      </c>
      <c r="X2" s="3" t="s">
        <v>8</v>
      </c>
      <c r="Y2" s="3" t="s">
        <v>9</v>
      </c>
      <c r="Z2" s="3" t="s">
        <v>10</v>
      </c>
      <c r="AA2" s="3" t="s">
        <v>11</v>
      </c>
      <c r="AB2" s="3" t="s">
        <v>12</v>
      </c>
      <c r="AC2" s="3" t="s">
        <v>13</v>
      </c>
      <c r="AD2" s="3" t="s">
        <v>14</v>
      </c>
      <c r="AE2" s="3" t="s">
        <v>26</v>
      </c>
      <c r="AF2" s="9" t="s">
        <v>64</v>
      </c>
      <c r="AG2" s="9" t="s">
        <v>63</v>
      </c>
      <c r="AH2" s="9" t="s">
        <v>65</v>
      </c>
      <c r="AI2" s="13" t="s">
        <v>75</v>
      </c>
      <c r="AJ2" s="13" t="s">
        <v>76</v>
      </c>
      <c r="AK2" s="13" t="s">
        <v>105</v>
      </c>
      <c r="AL2" s="13" t="s">
        <v>106</v>
      </c>
      <c r="AM2" s="13" t="s">
        <v>107</v>
      </c>
      <c r="AN2" s="13" t="s">
        <v>114</v>
      </c>
      <c r="AO2" s="13" t="s">
        <v>115</v>
      </c>
      <c r="AP2" s="13" t="s">
        <v>153</v>
      </c>
      <c r="AQ2" s="13" t="s">
        <v>154</v>
      </c>
      <c r="AR2" s="13"/>
      <c r="AS2" s="13"/>
      <c r="AT2" s="13"/>
      <c r="AU2" s="13">
        <v>2010</v>
      </c>
      <c r="AV2" s="13">
        <v>2011</v>
      </c>
      <c r="AW2" s="13">
        <v>2012</v>
      </c>
      <c r="AX2" s="13">
        <v>2013</v>
      </c>
      <c r="AY2" s="3">
        <v>2014</v>
      </c>
      <c r="AZ2" s="3">
        <v>2015</v>
      </c>
      <c r="BA2" s="3">
        <v>2016</v>
      </c>
      <c r="BB2" s="3">
        <v>2017</v>
      </c>
      <c r="BC2" s="3">
        <v>2018</v>
      </c>
      <c r="BD2" s="3">
        <f>BC2+1</f>
        <v>2019</v>
      </c>
      <c r="BE2" s="3">
        <f t="shared" ref="BE2:BM2" si="0">BD2+1</f>
        <v>2020</v>
      </c>
      <c r="BF2" s="3">
        <f t="shared" si="0"/>
        <v>2021</v>
      </c>
      <c r="BG2" s="3">
        <f t="shared" si="0"/>
        <v>2022</v>
      </c>
      <c r="BH2" s="3">
        <f t="shared" si="0"/>
        <v>2023</v>
      </c>
      <c r="BI2" s="3">
        <f t="shared" si="0"/>
        <v>2024</v>
      </c>
      <c r="BJ2" s="3">
        <f t="shared" si="0"/>
        <v>2025</v>
      </c>
      <c r="BK2" s="3">
        <f t="shared" si="0"/>
        <v>2026</v>
      </c>
      <c r="BL2" s="3">
        <f t="shared" si="0"/>
        <v>2027</v>
      </c>
      <c r="BM2" s="3">
        <f t="shared" si="0"/>
        <v>2028</v>
      </c>
      <c r="BN2" s="3">
        <f t="shared" ref="BN2" si="1">BM2+1</f>
        <v>2029</v>
      </c>
      <c r="BO2" s="3">
        <f t="shared" ref="BO2" si="2">BN2+1</f>
        <v>2030</v>
      </c>
      <c r="BP2" s="3">
        <f t="shared" ref="BP2" si="3">BO2+1</f>
        <v>2031</v>
      </c>
      <c r="BQ2" s="3">
        <f t="shared" ref="BQ2" si="4">BP2+1</f>
        <v>2032</v>
      </c>
      <c r="BR2" s="3">
        <f t="shared" ref="BR2" si="5">BQ2+1</f>
        <v>2033</v>
      </c>
      <c r="BS2" s="3">
        <f t="shared" ref="BS2" si="6">BR2+1</f>
        <v>2034</v>
      </c>
      <c r="BT2" s="3">
        <f t="shared" ref="BT2" si="7">BS2+1</f>
        <v>2035</v>
      </c>
      <c r="BU2" s="3">
        <f t="shared" ref="BU2" si="8">BT2+1</f>
        <v>2036</v>
      </c>
      <c r="BV2" s="3">
        <f t="shared" ref="BV2" si="9">BU2+1</f>
        <v>2037</v>
      </c>
      <c r="BW2" s="3">
        <f t="shared" ref="BW2" si="10">BV2+1</f>
        <v>2038</v>
      </c>
      <c r="BX2" s="3">
        <f t="shared" ref="BX2" si="11">BW2+1</f>
        <v>2039</v>
      </c>
      <c r="BY2" s="3">
        <f t="shared" ref="BY2" si="12">BX2+1</f>
        <v>2040</v>
      </c>
      <c r="BZ2" s="3">
        <f t="shared" ref="BZ2" si="13">BY2+1</f>
        <v>2041</v>
      </c>
      <c r="CA2" s="3">
        <f t="shared" ref="CA2" si="14">BZ2+1</f>
        <v>2042</v>
      </c>
      <c r="CB2" s="3">
        <f t="shared" ref="CB2" si="15">CA2+1</f>
        <v>2043</v>
      </c>
      <c r="CC2" s="3">
        <f t="shared" ref="CC2" si="16">CB2+1</f>
        <v>2044</v>
      </c>
      <c r="CD2" s="3">
        <f t="shared" ref="CD2" si="17">CC2+1</f>
        <v>2045</v>
      </c>
      <c r="CE2" s="3">
        <f t="shared" ref="CE2" si="18">CD2+1</f>
        <v>2046</v>
      </c>
      <c r="CF2" s="3">
        <f t="shared" ref="CF2" si="19">CE2+1</f>
        <v>2047</v>
      </c>
      <c r="CG2" s="3">
        <f t="shared" ref="CG2" si="20">CF2+1</f>
        <v>2048</v>
      </c>
      <c r="CH2" s="3">
        <f t="shared" ref="CH2" si="21">CG2+1</f>
        <v>2049</v>
      </c>
      <c r="CI2" s="3">
        <f t="shared" ref="CI2" si="22">CH2+1</f>
        <v>2050</v>
      </c>
      <c r="CJ2" s="3">
        <f t="shared" ref="CJ2" si="23">CI2+1</f>
        <v>2051</v>
      </c>
      <c r="CK2" s="3">
        <f t="shared" ref="CK2" si="24">CJ2+1</f>
        <v>2052</v>
      </c>
      <c r="CL2" s="3">
        <f t="shared" ref="CL2" si="25">CK2+1</f>
        <v>2053</v>
      </c>
      <c r="CM2" s="3">
        <f t="shared" ref="CM2" si="26">CL2+1</f>
        <v>2054</v>
      </c>
      <c r="CN2" s="3">
        <f t="shared" ref="CN2" si="27">CM2+1</f>
        <v>2055</v>
      </c>
      <c r="CO2" s="3">
        <f t="shared" ref="CO2" si="28">CN2+1</f>
        <v>2056</v>
      </c>
      <c r="CP2" s="3">
        <f t="shared" ref="CP2" si="29">CO2+1</f>
        <v>2057</v>
      </c>
      <c r="CQ2" s="3">
        <f t="shared" ref="CQ2" si="30">CP2+1</f>
        <v>2058</v>
      </c>
      <c r="CR2" s="3">
        <f t="shared" ref="CR2" si="31">CQ2+1</f>
        <v>2059</v>
      </c>
      <c r="CS2" s="3">
        <f t="shared" ref="CS2" si="32">CR2+1</f>
        <v>2060</v>
      </c>
      <c r="CT2" s="3">
        <f t="shared" ref="CT2" si="33">CS2+1</f>
        <v>2061</v>
      </c>
      <c r="CU2" s="3">
        <f t="shared" ref="CU2" si="34">CT2+1</f>
        <v>2062</v>
      </c>
      <c r="CV2" s="3">
        <f t="shared" ref="CV2" si="35">CU2+1</f>
        <v>2063</v>
      </c>
      <c r="CW2" s="3">
        <f t="shared" ref="CW2" si="36">CV2+1</f>
        <v>2064</v>
      </c>
      <c r="CX2" s="3">
        <f t="shared" ref="CX2" si="37">CW2+1</f>
        <v>2065</v>
      </c>
      <c r="CY2" s="3">
        <f t="shared" ref="CY2" si="38">CX2+1</f>
        <v>2066</v>
      </c>
      <c r="CZ2" s="3">
        <f t="shared" ref="CZ2" si="39">CY2+1</f>
        <v>2067</v>
      </c>
      <c r="DA2" s="3">
        <f t="shared" ref="DA2" si="40">CZ2+1</f>
        <v>2068</v>
      </c>
      <c r="DB2" s="3">
        <f t="shared" ref="DB2" si="41">DA2+1</f>
        <v>2069</v>
      </c>
      <c r="DC2" s="3">
        <f t="shared" ref="DC2" si="42">DB2+1</f>
        <v>2070</v>
      </c>
      <c r="DD2" s="3">
        <f t="shared" ref="DD2" si="43">DC2+1</f>
        <v>2071</v>
      </c>
      <c r="DE2" s="3">
        <f t="shared" ref="DE2" si="44">DD2+1</f>
        <v>2072</v>
      </c>
      <c r="DF2" s="3">
        <f t="shared" ref="DF2" si="45">DE2+1</f>
        <v>2073</v>
      </c>
      <c r="DG2" s="3">
        <f t="shared" ref="DG2" si="46">DF2+1</f>
        <v>2074</v>
      </c>
      <c r="DH2" s="3">
        <f t="shared" ref="DH2" si="47">DG2+1</f>
        <v>2075</v>
      </c>
      <c r="DI2" s="3">
        <f t="shared" ref="DI2" si="48">DH2+1</f>
        <v>2076</v>
      </c>
      <c r="DJ2" s="3">
        <f t="shared" ref="DJ2" si="49">DI2+1</f>
        <v>2077</v>
      </c>
      <c r="DK2" s="3">
        <f t="shared" ref="DK2" si="50">DJ2+1</f>
        <v>2078</v>
      </c>
      <c r="DL2" s="3">
        <f t="shared" ref="DL2" si="51">DK2+1</f>
        <v>2079</v>
      </c>
      <c r="DM2" s="3">
        <f t="shared" ref="DM2" si="52">DL2+1</f>
        <v>2080</v>
      </c>
      <c r="DN2" s="3">
        <f t="shared" ref="DN2" si="53">DM2+1</f>
        <v>2081</v>
      </c>
      <c r="DO2" s="3">
        <f t="shared" ref="DO2" si="54">DN2+1</f>
        <v>2082</v>
      </c>
      <c r="DP2" s="3">
        <f t="shared" ref="DP2" si="55">DO2+1</f>
        <v>2083</v>
      </c>
      <c r="DQ2" s="3">
        <f t="shared" ref="DQ2" si="56">DP2+1</f>
        <v>2084</v>
      </c>
      <c r="DR2" s="3">
        <f t="shared" ref="DR2" si="57">DQ2+1</f>
        <v>2085</v>
      </c>
      <c r="DS2" s="3">
        <f t="shared" ref="DS2" si="58">DR2+1</f>
        <v>2086</v>
      </c>
      <c r="DT2" s="3">
        <f t="shared" ref="DT2" si="59">DS2+1</f>
        <v>2087</v>
      </c>
      <c r="DU2" s="3">
        <f t="shared" ref="DU2" si="60">DT2+1</f>
        <v>2088</v>
      </c>
      <c r="DV2" s="3">
        <f t="shared" ref="DV2" si="61">DU2+1</f>
        <v>2089</v>
      </c>
      <c r="DW2" s="3">
        <f t="shared" ref="DW2" si="62">DV2+1</f>
        <v>2090</v>
      </c>
      <c r="DX2" s="3">
        <f t="shared" ref="DX2" si="63">DW2+1</f>
        <v>2091</v>
      </c>
      <c r="DY2" s="3">
        <f t="shared" ref="DY2" si="64">DX2+1</f>
        <v>2092</v>
      </c>
      <c r="DZ2" s="3">
        <f t="shared" ref="DZ2" si="65">DY2+1</f>
        <v>2093</v>
      </c>
      <c r="EA2" s="3">
        <f t="shared" ref="EA2" si="66">DZ2+1</f>
        <v>2094</v>
      </c>
      <c r="EB2" s="3">
        <f t="shared" ref="EB2" si="67">EA2+1</f>
        <v>2095</v>
      </c>
      <c r="EC2" s="3">
        <f t="shared" ref="EC2" si="68">EB2+1</f>
        <v>2096</v>
      </c>
      <c r="ED2" s="3">
        <f t="shared" ref="ED2" si="69">EC2+1</f>
        <v>2097</v>
      </c>
      <c r="EE2" s="3">
        <f t="shared" ref="EE2" si="70">ED2+1</f>
        <v>2098</v>
      </c>
      <c r="EF2" s="3">
        <f t="shared" ref="EF2" si="71">EE2+1</f>
        <v>2099</v>
      </c>
      <c r="EG2" s="3">
        <f t="shared" ref="EG2" si="72">EF2+1</f>
        <v>2100</v>
      </c>
      <c r="EH2" s="3">
        <f t="shared" ref="EH2" si="73">EG2+1</f>
        <v>2101</v>
      </c>
      <c r="EI2" s="3">
        <f t="shared" ref="EI2" si="74">EH2+1</f>
        <v>2102</v>
      </c>
      <c r="EJ2" s="3">
        <f t="shared" ref="EJ2" si="75">EI2+1</f>
        <v>2103</v>
      </c>
      <c r="EK2" s="3">
        <f t="shared" ref="EK2" si="76">EJ2+1</f>
        <v>2104</v>
      </c>
      <c r="EL2" s="3">
        <f t="shared" ref="EL2" si="77">EK2+1</f>
        <v>2105</v>
      </c>
      <c r="EM2" s="3">
        <f t="shared" ref="EM2" si="78">EL2+1</f>
        <v>2106</v>
      </c>
      <c r="EN2" s="3">
        <f t="shared" ref="EN2" si="79">EM2+1</f>
        <v>2107</v>
      </c>
      <c r="EO2" s="3">
        <f t="shared" ref="EO2" si="80">EN2+1</f>
        <v>2108</v>
      </c>
      <c r="EP2" s="3">
        <f t="shared" ref="EP2" si="81">EO2+1</f>
        <v>2109</v>
      </c>
      <c r="EQ2" s="3">
        <f t="shared" ref="EQ2" si="82">EP2+1</f>
        <v>2110</v>
      </c>
      <c r="ER2" s="3">
        <f t="shared" ref="ER2" si="83">EQ2+1</f>
        <v>2111</v>
      </c>
      <c r="ES2" s="3">
        <f t="shared" ref="ES2" si="84">ER2+1</f>
        <v>2112</v>
      </c>
      <c r="ET2" s="3">
        <f t="shared" ref="ET2" si="85">ES2+1</f>
        <v>2113</v>
      </c>
      <c r="EU2" s="3">
        <f t="shared" ref="EU2" si="86">ET2+1</f>
        <v>2114</v>
      </c>
      <c r="EV2" s="3">
        <f t="shared" ref="EV2" si="87">EU2+1</f>
        <v>2115</v>
      </c>
      <c r="EW2" s="3">
        <f t="shared" ref="EW2" si="88">EV2+1</f>
        <v>2116</v>
      </c>
      <c r="EX2" s="3">
        <f t="shared" ref="EX2" si="89">EW2+1</f>
        <v>2117</v>
      </c>
      <c r="EY2" s="3">
        <f t="shared" ref="EY2" si="90">EX2+1</f>
        <v>2118</v>
      </c>
      <c r="EZ2" s="3">
        <f t="shared" ref="EZ2" si="91">EY2+1</f>
        <v>2119</v>
      </c>
      <c r="FA2" s="3">
        <f t="shared" ref="FA2" si="92">EZ2+1</f>
        <v>2120</v>
      </c>
      <c r="FB2" s="3">
        <f t="shared" ref="FB2" si="93">FA2+1</f>
        <v>2121</v>
      </c>
      <c r="FC2" s="3">
        <f t="shared" ref="FC2" si="94">FB2+1</f>
        <v>2122</v>
      </c>
      <c r="FD2" s="3">
        <f t="shared" ref="FD2" si="95">FC2+1</f>
        <v>2123</v>
      </c>
      <c r="FE2" s="3">
        <f t="shared" ref="FE2" si="96">FD2+1</f>
        <v>2124</v>
      </c>
      <c r="FF2" s="3">
        <f t="shared" ref="FF2" si="97">FE2+1</f>
        <v>2125</v>
      </c>
      <c r="FG2" s="3">
        <f t="shared" ref="FG2" si="98">FF2+1</f>
        <v>2126</v>
      </c>
      <c r="FH2" s="3">
        <f t="shared" ref="FH2" si="99">FG2+1</f>
        <v>2127</v>
      </c>
      <c r="FI2" s="3">
        <f t="shared" ref="FI2" si="100">FH2+1</f>
        <v>2128</v>
      </c>
      <c r="FJ2" s="3">
        <f t="shared" ref="FJ2" si="101">FI2+1</f>
        <v>2129</v>
      </c>
      <c r="FK2" s="3">
        <f t="shared" ref="FK2" si="102">FJ2+1</f>
        <v>2130</v>
      </c>
      <c r="FL2" s="3">
        <f t="shared" ref="FL2" si="103">FK2+1</f>
        <v>2131</v>
      </c>
      <c r="FM2" s="3">
        <f t="shared" ref="FM2" si="104">FL2+1</f>
        <v>2132</v>
      </c>
      <c r="FN2" s="3">
        <f t="shared" ref="FN2" si="105">FM2+1</f>
        <v>2133</v>
      </c>
      <c r="FO2" s="3">
        <f t="shared" ref="FO2" si="106">FN2+1</f>
        <v>2134</v>
      </c>
      <c r="FP2" s="3">
        <f t="shared" ref="FP2" si="107">FO2+1</f>
        <v>2135</v>
      </c>
    </row>
    <row r="3" spans="1:172" x14ac:dyDescent="0.25">
      <c r="B3" s="9"/>
      <c r="C3" s="13"/>
      <c r="D3" s="13"/>
      <c r="E3" s="13"/>
      <c r="F3" s="13"/>
      <c r="G3" s="13"/>
      <c r="H3" s="13"/>
      <c r="I3" s="13"/>
      <c r="J3" s="13"/>
      <c r="K3" s="13"/>
      <c r="L3" s="13"/>
      <c r="M3" s="13"/>
      <c r="N3" s="13"/>
      <c r="O3" s="13"/>
      <c r="P3" s="13"/>
      <c r="Q3" s="13"/>
      <c r="R3" s="13"/>
      <c r="S3" s="13"/>
      <c r="T3" s="13"/>
      <c r="U3" s="13"/>
      <c r="AF3" s="9"/>
      <c r="AG3" s="9"/>
      <c r="AH3" s="9"/>
      <c r="AI3" s="13"/>
      <c r="AJ3" s="13"/>
      <c r="AK3" s="13"/>
      <c r="AL3" s="13"/>
      <c r="AM3" s="13"/>
      <c r="AN3" s="13"/>
      <c r="AO3" s="13"/>
    </row>
    <row r="4" spans="1:172" x14ac:dyDescent="0.25">
      <c r="B4" s="9"/>
      <c r="AF4" s="9"/>
      <c r="AG4" s="9"/>
      <c r="AH4" s="9"/>
      <c r="AI4" s="9"/>
      <c r="AJ4" s="9"/>
      <c r="AK4" s="9"/>
      <c r="AL4" s="9"/>
      <c r="AM4" s="9"/>
      <c r="AN4" s="9"/>
      <c r="AO4" s="9"/>
    </row>
    <row r="5" spans="1:172" s="6" customFormat="1" x14ac:dyDescent="0.25">
      <c r="B5" s="14" t="s">
        <v>70</v>
      </c>
      <c r="AF5" s="11"/>
      <c r="AG5" s="11"/>
      <c r="AH5" s="11"/>
      <c r="AI5" s="11">
        <v>8239</v>
      </c>
      <c r="AJ5" s="11">
        <v>8255.4879999999994</v>
      </c>
      <c r="AL5" s="11">
        <v>8290.1790000000001</v>
      </c>
      <c r="AM5" s="11"/>
      <c r="AN5" s="11"/>
      <c r="AO5" s="11"/>
      <c r="BA5" s="6">
        <v>7558.5540000000001</v>
      </c>
      <c r="BB5" s="6">
        <v>7645.6170000000002</v>
      </c>
      <c r="BC5" s="6">
        <v>7729.902</v>
      </c>
      <c r="BD5" s="6">
        <v>7811.2929999999997</v>
      </c>
      <c r="BE5" s="6">
        <v>7887</v>
      </c>
      <c r="BF5" s="6">
        <v>7954.4480000000003</v>
      </c>
      <c r="BG5" s="6">
        <v>8021.4070000000002</v>
      </c>
      <c r="BH5" s="6">
        <v>8091.7340000000004</v>
      </c>
      <c r="BI5" s="6">
        <v>8161.9719999999998</v>
      </c>
      <c r="BJ5" s="6">
        <v>8233.8887200000008</v>
      </c>
      <c r="BK5" s="6">
        <f t="shared" ref="BK5:BO5" si="108">+BJ5*(BJ5/BI5)</f>
        <v>8306.4391121830904</v>
      </c>
      <c r="BL5" s="6">
        <f t="shared" si="108"/>
        <v>8379.6287599579082</v>
      </c>
      <c r="BM5" s="6">
        <f t="shared" si="108"/>
        <v>8453.4632959295886</v>
      </c>
      <c r="BN5" s="6">
        <f t="shared" si="108"/>
        <v>8527.9484023332425</v>
      </c>
      <c r="BO5" s="6">
        <f t="shared" si="108"/>
        <v>8603.0898114712618</v>
      </c>
      <c r="BP5" s="6">
        <f t="shared" ref="BP5" si="109">+BO5*(BO5/BN5)</f>
        <v>8678.8933061544631</v>
      </c>
      <c r="BQ5" s="6">
        <f t="shared" ref="BQ5" si="110">+BP5*(BP5/BO5)</f>
        <v>8755.364720147134</v>
      </c>
      <c r="BR5" s="6">
        <f t="shared" ref="BR5" si="111">+BQ5*(BQ5/BP5)</f>
        <v>8832.5099386159927</v>
      </c>
      <c r="BS5" s="6">
        <f t="shared" ref="BS5" si="112">+BR5*(BR5/BQ5)</f>
        <v>8910.3348985831017</v>
      </c>
      <c r="BT5" s="6">
        <f t="shared" ref="BT5" si="113">+BS5*(BS5/BR5)</f>
        <v>8988.8455893827795</v>
      </c>
    </row>
    <row r="6" spans="1:172" s="6" customFormat="1" x14ac:dyDescent="0.25">
      <c r="B6" s="14" t="s">
        <v>101</v>
      </c>
      <c r="AF6" s="11"/>
      <c r="AG6" s="11"/>
      <c r="AH6" s="11"/>
      <c r="AI6" s="6">
        <f>143.8+1411+54.13+90.61+26.42+7.364+48.66</f>
        <v>1781.9840000000002</v>
      </c>
      <c r="AJ6" s="11">
        <f>+AI6+4.75*3</f>
        <v>1796.2340000000002</v>
      </c>
      <c r="AK6" s="11"/>
      <c r="AL6" s="11">
        <f>1410+93.17+140+40</f>
        <v>1683.17</v>
      </c>
      <c r="AM6" s="11"/>
      <c r="AN6" s="11"/>
      <c r="AO6" s="11"/>
      <c r="BI6" s="6">
        <f>143.8+1411+54.13+90.61+26.42+7.364+48.66</f>
        <v>1781.9840000000002</v>
      </c>
      <c r="BJ6" s="6">
        <v>1801</v>
      </c>
      <c r="BK6" s="6">
        <v>1804</v>
      </c>
      <c r="BL6" s="6">
        <v>1806</v>
      </c>
      <c r="BM6" s="6">
        <v>1808</v>
      </c>
      <c r="BN6" s="6">
        <v>1809</v>
      </c>
      <c r="BO6" s="6">
        <v>1810</v>
      </c>
      <c r="BP6" s="6">
        <v>1810</v>
      </c>
      <c r="BQ6" s="6">
        <v>1809</v>
      </c>
      <c r="BR6" s="6">
        <v>1808</v>
      </c>
      <c r="BS6" s="6">
        <v>1806</v>
      </c>
      <c r="BT6" s="6">
        <v>1804</v>
      </c>
      <c r="BU6" s="14" t="s">
        <v>104</v>
      </c>
    </row>
    <row r="7" spans="1:172" s="6" customFormat="1" x14ac:dyDescent="0.25">
      <c r="B7" s="14" t="s">
        <v>102</v>
      </c>
      <c r="AF7" s="11"/>
      <c r="AG7" s="11"/>
      <c r="AH7" s="11"/>
      <c r="AI7" s="6">
        <f>+AI5-AI6</f>
        <v>6457.0159999999996</v>
      </c>
      <c r="AJ7" s="6">
        <f>+AJ5-AJ6</f>
        <v>6459.253999999999</v>
      </c>
      <c r="AK7" s="11"/>
      <c r="AL7" s="6">
        <f>+AL5-AL6</f>
        <v>6607.009</v>
      </c>
      <c r="AM7" s="11"/>
      <c r="AN7" s="11"/>
      <c r="AO7" s="11"/>
      <c r="BI7" s="6">
        <f>+BI5-BI6</f>
        <v>6379.9879999999994</v>
      </c>
      <c r="BJ7" s="6">
        <f t="shared" ref="BJ7:BT7" si="114">+BJ5-BJ6</f>
        <v>6432.8887200000008</v>
      </c>
      <c r="BK7" s="6">
        <f t="shared" si="114"/>
        <v>6502.4391121830904</v>
      </c>
      <c r="BL7" s="6">
        <f t="shared" si="114"/>
        <v>6573.6287599579082</v>
      </c>
      <c r="BM7" s="6">
        <f t="shared" si="114"/>
        <v>6645.4632959295886</v>
      </c>
      <c r="BN7" s="6">
        <f t="shared" si="114"/>
        <v>6718.9484023332425</v>
      </c>
      <c r="BO7" s="6">
        <f t="shared" si="114"/>
        <v>6793.0898114712618</v>
      </c>
      <c r="BP7" s="6">
        <f t="shared" si="114"/>
        <v>6868.8933061544631</v>
      </c>
      <c r="BQ7" s="6">
        <f t="shared" si="114"/>
        <v>6946.364720147134</v>
      </c>
      <c r="BR7" s="6">
        <f t="shared" si="114"/>
        <v>7024.5099386159927</v>
      </c>
      <c r="BS7" s="6">
        <f t="shared" si="114"/>
        <v>7104.3348985831017</v>
      </c>
      <c r="BT7" s="6">
        <f t="shared" si="114"/>
        <v>7184.8455893827795</v>
      </c>
    </row>
    <row r="8" spans="1:172" s="6" customFormat="1" x14ac:dyDescent="0.25">
      <c r="B8" s="14"/>
      <c r="AF8" s="11"/>
      <c r="AG8" s="11"/>
      <c r="AH8" s="11"/>
      <c r="AI8" s="11"/>
      <c r="AJ8" s="11"/>
      <c r="AK8" s="11"/>
      <c r="AL8" s="11"/>
      <c r="AM8" s="11"/>
      <c r="AN8" s="11"/>
      <c r="AO8" s="11"/>
    </row>
    <row r="9" spans="1:172" x14ac:dyDescent="0.25">
      <c r="B9" s="13" t="s">
        <v>103</v>
      </c>
      <c r="AF9" s="9"/>
      <c r="AG9" s="9"/>
      <c r="AH9" s="9"/>
      <c r="AI9" s="27">
        <f>+AI13/AI7*1000</f>
        <v>0.53894864129189091</v>
      </c>
      <c r="AJ9" s="27">
        <f>+AJ13/AJ7*1000</f>
        <v>0.54805090494970476</v>
      </c>
      <c r="AK9" s="9"/>
      <c r="AL9" s="27">
        <f>+AL13/AL7*1000</f>
        <v>0.53882172704774578</v>
      </c>
      <c r="AM9" s="9"/>
      <c r="AN9" s="9"/>
      <c r="AO9" s="9"/>
      <c r="BG9" s="20"/>
      <c r="BH9" s="20"/>
      <c r="BI9" s="20">
        <f>+BI13/BI7*1000</f>
        <v>0.52507935751603296</v>
      </c>
      <c r="BJ9" s="20">
        <f>+BJ13/BJ7*1000</f>
        <v>0.55029709887473377</v>
      </c>
      <c r="BK9" s="20">
        <f t="shared" ref="BK9:BT9" si="115">+BK13/BK7*1000</f>
        <v>0.57544252786455641</v>
      </c>
      <c r="BL9" s="20">
        <f t="shared" si="115"/>
        <v>0.601655737557246</v>
      </c>
      <c r="BM9" s="20">
        <f t="shared" si="115"/>
        <v>0.62907577351011723</v>
      </c>
      <c r="BN9" s="20">
        <f t="shared" si="115"/>
        <v>0.65766072256025321</v>
      </c>
      <c r="BO9" s="20">
        <f t="shared" si="115"/>
        <v>0.6875603787131439</v>
      </c>
      <c r="BP9" s="20">
        <f t="shared" si="115"/>
        <v>0.71873106326726721</v>
      </c>
      <c r="BQ9" s="20">
        <f t="shared" si="115"/>
        <v>0.7512259661031998</v>
      </c>
      <c r="BR9" s="20">
        <f t="shared" si="115"/>
        <v>0.78521236359855207</v>
      </c>
      <c r="BS9" s="20">
        <f t="shared" si="115"/>
        <v>0.82064385508490278</v>
      </c>
      <c r="BT9" s="20">
        <f t="shared" si="115"/>
        <v>0.85770056471305778</v>
      </c>
    </row>
    <row r="10" spans="1:172" x14ac:dyDescent="0.25">
      <c r="B10" s="13"/>
      <c r="AF10" s="9"/>
      <c r="AG10" s="9"/>
      <c r="AH10" s="9"/>
      <c r="AI10" s="9"/>
      <c r="AJ10" s="9"/>
      <c r="AK10" s="9"/>
      <c r="AL10" s="9"/>
      <c r="AM10" s="9"/>
      <c r="AN10" s="9"/>
      <c r="AO10" s="9"/>
      <c r="BG10" s="20"/>
      <c r="BH10" s="20"/>
      <c r="BI10" s="20"/>
      <c r="BJ10" s="20"/>
      <c r="BK10" s="20"/>
      <c r="BL10" s="20"/>
      <c r="BM10" s="20"/>
      <c r="BN10" s="20"/>
      <c r="BO10" s="20"/>
    </row>
    <row r="11" spans="1:172" x14ac:dyDescent="0.25">
      <c r="B11" s="13"/>
      <c r="AF11" s="9"/>
      <c r="AG11" s="9"/>
      <c r="AH11" s="9"/>
      <c r="AI11" s="9"/>
      <c r="AJ11" s="9"/>
      <c r="AK11" s="9"/>
      <c r="AL11" s="9"/>
      <c r="AM11" s="9"/>
      <c r="AN11" s="9"/>
      <c r="AO11" s="9"/>
      <c r="BG11" s="20"/>
      <c r="BH11" s="20"/>
      <c r="BI11" s="20"/>
      <c r="BJ11" s="20"/>
      <c r="BK11" s="20"/>
      <c r="BL11" s="20"/>
      <c r="BM11" s="20"/>
      <c r="BN11" s="20"/>
      <c r="BO11" s="20"/>
    </row>
    <row r="12" spans="1:172" s="12" customFormat="1" x14ac:dyDescent="0.25">
      <c r="B12" s="18" t="s">
        <v>100</v>
      </c>
      <c r="M12" s="12">
        <v>1.657</v>
      </c>
      <c r="N12" s="12">
        <v>1.734</v>
      </c>
      <c r="O12" s="12">
        <v>1.7849999999999999</v>
      </c>
      <c r="P12" s="12">
        <v>1.82</v>
      </c>
      <c r="Q12" s="12">
        <v>1.845</v>
      </c>
      <c r="R12" s="12">
        <v>1.8779999999999999</v>
      </c>
      <c r="S12" s="12">
        <v>1.9079999999999999</v>
      </c>
      <c r="AF12" s="19"/>
      <c r="AG12" s="19"/>
      <c r="AH12" s="19"/>
      <c r="AI12" s="19"/>
      <c r="AJ12" s="19"/>
      <c r="AK12" s="19"/>
      <c r="AL12" s="19"/>
      <c r="AM12" s="19"/>
      <c r="AN12" s="19"/>
      <c r="AO12" s="19"/>
      <c r="AW12" s="12">
        <v>0.61799999999999999</v>
      </c>
      <c r="AX12" s="12">
        <v>0.75700000000000001</v>
      </c>
      <c r="AY12" s="12">
        <v>0.89</v>
      </c>
      <c r="AZ12" s="12">
        <v>1.038</v>
      </c>
      <c r="BA12" s="12">
        <v>1.2270000000000001</v>
      </c>
      <c r="BB12" s="12">
        <v>1.401</v>
      </c>
    </row>
    <row r="13" spans="1:172" s="12" customFormat="1" x14ac:dyDescent="0.25">
      <c r="B13" s="26" t="s">
        <v>117</v>
      </c>
      <c r="N13" s="12">
        <v>2.0299999999999998</v>
      </c>
      <c r="O13" s="12">
        <v>2.7010000000000001</v>
      </c>
      <c r="P13" s="12">
        <v>2.74</v>
      </c>
      <c r="Q13" s="12">
        <v>2.7970000000000002</v>
      </c>
      <c r="R13" s="12">
        <v>2.8530000000000002</v>
      </c>
      <c r="S13" s="12">
        <v>2.895</v>
      </c>
      <c r="T13" s="12">
        <v>2.91</v>
      </c>
      <c r="U13" s="12">
        <v>2.91</v>
      </c>
      <c r="V13" s="12">
        <v>2.87</v>
      </c>
      <c r="W13" s="12">
        <v>2.88</v>
      </c>
      <c r="X13" s="12">
        <v>2.93</v>
      </c>
      <c r="Y13" s="12">
        <v>2.96</v>
      </c>
      <c r="Z13" s="12">
        <v>3.02</v>
      </c>
      <c r="AA13" s="12">
        <v>3.07</v>
      </c>
      <c r="AB13" s="12">
        <v>3.14</v>
      </c>
      <c r="AC13" s="12">
        <v>3.19</v>
      </c>
      <c r="AD13" s="12">
        <v>3.24</v>
      </c>
      <c r="AE13" s="12">
        <v>3.27</v>
      </c>
      <c r="AF13" s="19">
        <v>3.29</v>
      </c>
      <c r="AG13" s="19">
        <v>3.35</v>
      </c>
      <c r="AH13" s="19">
        <v>3.43</v>
      </c>
      <c r="AI13" s="19">
        <v>3.48</v>
      </c>
      <c r="AJ13" s="19">
        <v>3.54</v>
      </c>
      <c r="AK13" s="19">
        <v>3.58</v>
      </c>
      <c r="AL13" s="19">
        <v>3.56</v>
      </c>
      <c r="AM13" s="19"/>
      <c r="AN13" s="19"/>
      <c r="AO13" s="19"/>
      <c r="BC13" s="12">
        <v>2.0299999999999998</v>
      </c>
      <c r="BD13" s="12">
        <v>2.2599999999999998</v>
      </c>
      <c r="BE13" s="12">
        <v>2.6</v>
      </c>
      <c r="BF13" s="12">
        <v>2.82</v>
      </c>
      <c r="BG13" s="12">
        <v>2.96</v>
      </c>
      <c r="BH13" s="12">
        <v>3.19</v>
      </c>
      <c r="BI13" s="19">
        <v>3.35</v>
      </c>
      <c r="BJ13" s="19">
        <v>3.54</v>
      </c>
      <c r="BK13" s="12">
        <f t="shared" ref="BK13:BO13" si="116">+BJ13*(1+BK42)</f>
        <v>3.7417799999999999</v>
      </c>
      <c r="BL13" s="12">
        <f t="shared" si="116"/>
        <v>3.9550614599999996</v>
      </c>
      <c r="BM13" s="12">
        <f t="shared" si="116"/>
        <v>4.1804999632199991</v>
      </c>
      <c r="BN13" s="12">
        <f t="shared" si="116"/>
        <v>4.4187884611235386</v>
      </c>
      <c r="BO13" s="12">
        <f t="shared" si="116"/>
        <v>4.6706594034075799</v>
      </c>
      <c r="BP13" s="12">
        <f t="shared" ref="BP13:BT14" si="117">+BO13*(1+BP42)</f>
        <v>4.9368869894018115</v>
      </c>
      <c r="BQ13" s="12">
        <f t="shared" si="117"/>
        <v>5.2182895477977143</v>
      </c>
      <c r="BR13" s="12">
        <f t="shared" si="117"/>
        <v>5.5157320520221838</v>
      </c>
      <c r="BS13" s="12">
        <f t="shared" si="117"/>
        <v>5.8301287789874481</v>
      </c>
      <c r="BT13" s="12">
        <f t="shared" si="117"/>
        <v>6.162446119389732</v>
      </c>
    </row>
    <row r="14" spans="1:172" s="15" customFormat="1" x14ac:dyDescent="0.25">
      <c r="B14" s="16" t="s">
        <v>67</v>
      </c>
      <c r="C14" s="22"/>
      <c r="D14" s="22"/>
      <c r="E14" s="22"/>
      <c r="F14" s="22"/>
      <c r="G14" s="22"/>
      <c r="H14" s="22"/>
      <c r="I14" s="22"/>
      <c r="J14" s="22"/>
      <c r="K14" s="22"/>
      <c r="L14" s="22"/>
      <c r="M14" s="22"/>
      <c r="N14" s="22">
        <f>+N26/(N13*1000)</f>
        <v>8.7374384236453206</v>
      </c>
      <c r="O14" s="22">
        <f>+O26/(O13*1000)</f>
        <v>6.9185486856719738</v>
      </c>
      <c r="R14" s="22">
        <f>+R26/(R13*1000)</f>
        <v>9.1731510690501228</v>
      </c>
      <c r="S14" s="22">
        <f>+S26/(S13*1000)</f>
        <v>10.043868739205527</v>
      </c>
      <c r="V14" s="22">
        <f t="shared" ref="V14:W14" si="118">+V26/(V13*1000)</f>
        <v>9.7240418118466891</v>
      </c>
      <c r="W14" s="22">
        <f t="shared" si="118"/>
        <v>10.00763888888889</v>
      </c>
      <c r="X14" s="22">
        <v>9.44</v>
      </c>
      <c r="Y14" s="22">
        <v>10.68</v>
      </c>
      <c r="Z14" s="22">
        <v>9.4700000000000006</v>
      </c>
      <c r="AA14" s="22">
        <v>10.42</v>
      </c>
      <c r="AB14" s="22">
        <v>10.93</v>
      </c>
      <c r="AC14" s="22">
        <v>12.33</v>
      </c>
      <c r="AD14" s="22">
        <v>11.2</v>
      </c>
      <c r="AE14" s="22">
        <v>11.89</v>
      </c>
      <c r="AF14" s="22">
        <v>12.29</v>
      </c>
      <c r="AG14" s="22">
        <v>14.25</v>
      </c>
      <c r="AH14" s="22">
        <f>+AH26/(AH13*1000)</f>
        <v>12.336443148688046</v>
      </c>
      <c r="AI14" s="22">
        <f>+AI26/(AI13*1000)</f>
        <v>13.654022988505748</v>
      </c>
      <c r="AJ14" s="22">
        <f>+AJ26/(AJ13*1000)</f>
        <v>14.475141242937854</v>
      </c>
      <c r="AK14" s="22">
        <f>+AK26/(AK13*1000)</f>
        <v>16.729888268156426</v>
      </c>
      <c r="AL14" s="22">
        <f>+AL26/(AL13*1000)</f>
        <v>15.817696629213483</v>
      </c>
      <c r="BC14" s="15">
        <f t="shared" ref="BC14:BG14" si="119">+BD14/1.15</f>
        <v>21.45641858509055</v>
      </c>
      <c r="BD14" s="15">
        <f t="shared" si="119"/>
        <v>24.674881372854131</v>
      </c>
      <c r="BE14" s="15">
        <f t="shared" si="119"/>
        <v>28.376113578782249</v>
      </c>
      <c r="BF14" s="15">
        <f t="shared" si="119"/>
        <v>32.632530615599585</v>
      </c>
      <c r="BG14" s="15">
        <f t="shared" si="119"/>
        <v>37.527410207939518</v>
      </c>
      <c r="BH14" s="15">
        <f>+BI14/1.15</f>
        <v>43.15652173913044</v>
      </c>
      <c r="BI14" s="15">
        <v>49.63</v>
      </c>
      <c r="BJ14" s="12">
        <v>54.72</v>
      </c>
      <c r="BK14" s="12">
        <f t="shared" ref="BK14:BO14" si="120">+BJ14*(1+BK43)</f>
        <v>60.356159999999996</v>
      </c>
      <c r="BL14" s="12">
        <f t="shared" si="120"/>
        <v>66.572844480000001</v>
      </c>
      <c r="BM14" s="12">
        <f t="shared" si="120"/>
        <v>73.429847461440005</v>
      </c>
      <c r="BN14" s="12">
        <f t="shared" si="120"/>
        <v>80.993121749968324</v>
      </c>
      <c r="BO14" s="12">
        <f t="shared" si="120"/>
        <v>89.335413290215058</v>
      </c>
      <c r="BP14" s="12">
        <f t="shared" si="117"/>
        <v>98.536960859107211</v>
      </c>
      <c r="BQ14" s="12">
        <f t="shared" si="117"/>
        <v>108.68626782759524</v>
      </c>
      <c r="BR14" s="12">
        <f t="shared" si="117"/>
        <v>119.88095341383756</v>
      </c>
      <c r="BS14" s="12">
        <f t="shared" si="117"/>
        <v>132.22869161546282</v>
      </c>
      <c r="BT14" s="12">
        <f t="shared" si="117"/>
        <v>145.84824685185549</v>
      </c>
    </row>
    <row r="15" spans="1:172" x14ac:dyDescent="0.25">
      <c r="B15" s="13"/>
    </row>
    <row r="16" spans="1:172" x14ac:dyDescent="0.25">
      <c r="B16" s="13" t="s">
        <v>71</v>
      </c>
      <c r="N16" s="21"/>
      <c r="O16" s="21"/>
      <c r="P16" s="21"/>
      <c r="Q16" s="21"/>
      <c r="R16" s="21">
        <f t="shared" ref="R16:AF16" si="121">+(R13-N13)*1000</f>
        <v>823.00000000000045</v>
      </c>
      <c r="S16" s="21">
        <f t="shared" si="121"/>
        <v>193.99999999999994</v>
      </c>
      <c r="T16" s="21">
        <f t="shared" si="121"/>
        <v>169.99999999999994</v>
      </c>
      <c r="U16" s="21">
        <f t="shared" si="121"/>
        <v>112.99999999999999</v>
      </c>
      <c r="V16" s="21">
        <f t="shared" si="121"/>
        <v>16.999999999999904</v>
      </c>
      <c r="W16" s="21">
        <f t="shared" si="121"/>
        <v>-15.000000000000124</v>
      </c>
      <c r="X16" s="21">
        <f t="shared" si="121"/>
        <v>20.000000000000018</v>
      </c>
      <c r="Y16" s="21">
        <f t="shared" si="121"/>
        <v>49.999999999999822</v>
      </c>
      <c r="Z16" s="21">
        <f t="shared" si="121"/>
        <v>149.99999999999991</v>
      </c>
      <c r="AA16" s="21">
        <f t="shared" si="121"/>
        <v>189.99999999999994</v>
      </c>
      <c r="AB16" s="21">
        <f t="shared" si="121"/>
        <v>209.99999999999997</v>
      </c>
      <c r="AC16" s="21">
        <f t="shared" si="121"/>
        <v>229.99999999999997</v>
      </c>
      <c r="AD16" s="21">
        <f t="shared" si="121"/>
        <v>220.0000000000002</v>
      </c>
      <c r="AE16" s="21">
        <f t="shared" si="121"/>
        <v>200.00000000000017</v>
      </c>
      <c r="AF16" s="21">
        <f t="shared" si="121"/>
        <v>149.99999999999991</v>
      </c>
      <c r="AG16" s="21">
        <f t="shared" ref="AG16:AL16" si="122">+(AG13-AC13)*1000</f>
        <v>160.00000000000014</v>
      </c>
      <c r="AH16" s="21">
        <f t="shared" si="122"/>
        <v>189.99999999999994</v>
      </c>
      <c r="AI16" s="21">
        <f t="shared" si="122"/>
        <v>209.99999999999997</v>
      </c>
      <c r="AJ16" s="21">
        <f t="shared" si="122"/>
        <v>250</v>
      </c>
      <c r="AK16" s="21">
        <f t="shared" si="122"/>
        <v>229.99999999999997</v>
      </c>
      <c r="AL16" s="21">
        <f t="shared" si="122"/>
        <v>129.99999999999989</v>
      </c>
      <c r="BD16" s="12">
        <f t="shared" ref="BD16:BG16" si="123">+(BD13-BC13)*1000</f>
        <v>229.99999999999997</v>
      </c>
      <c r="BE16" s="12">
        <f t="shared" si="123"/>
        <v>340.00000000000028</v>
      </c>
      <c r="BF16" s="12">
        <f t="shared" si="123"/>
        <v>219.99999999999974</v>
      </c>
      <c r="BG16" s="12">
        <f t="shared" si="123"/>
        <v>140.00000000000011</v>
      </c>
      <c r="BH16" s="12">
        <f>+(BH13-BG13)*1000</f>
        <v>229.99999999999997</v>
      </c>
      <c r="BI16" s="12">
        <f>+(BI13-BH13)*1000</f>
        <v>160.00000000000014</v>
      </c>
      <c r="BJ16" s="12">
        <f>+(BJ13-BI13)*1000</f>
        <v>189.99999999999994</v>
      </c>
    </row>
    <row r="17" spans="2:99" x14ac:dyDescent="0.25">
      <c r="B17" s="13" t="s">
        <v>72</v>
      </c>
      <c r="Z17" s="12"/>
      <c r="AA17" s="22">
        <f t="shared" ref="AA17:AC17" si="124">+AA30/AA16</f>
        <v>16.600000000000005</v>
      </c>
      <c r="AB17" s="22">
        <f t="shared" si="124"/>
        <v>13.700000000000001</v>
      </c>
      <c r="AC17" s="22">
        <f t="shared" si="124"/>
        <v>14.026086956521741</v>
      </c>
      <c r="AD17" s="22">
        <f t="shared" ref="AD17:AK17" si="125">+AD30/AD16</f>
        <v>11.654545454545444</v>
      </c>
      <c r="AE17" s="22">
        <f t="shared" si="125"/>
        <v>13.604999999999988</v>
      </c>
      <c r="AF17" s="22">
        <f t="shared" si="125"/>
        <v>18.813333333333343</v>
      </c>
      <c r="AG17" s="22">
        <f t="shared" si="125"/>
        <v>20.249999999999982</v>
      </c>
      <c r="AH17" s="22">
        <f t="shared" si="125"/>
        <v>14.510526315789479</v>
      </c>
      <c r="AI17" s="22">
        <f t="shared" si="125"/>
        <v>14.185714285714287</v>
      </c>
      <c r="AJ17" s="22">
        <f t="shared" si="125"/>
        <v>11.38</v>
      </c>
      <c r="AK17" s="22">
        <f t="shared" si="125"/>
        <v>14.82608695652174</v>
      </c>
      <c r="AL17" s="22">
        <f t="shared" ref="AL17" si="126">+AL30/AL16</f>
        <v>22.369230769230789</v>
      </c>
      <c r="BD17" s="12">
        <f t="shared" ref="BD17:BG17" si="127">+BD30/BD16</f>
        <v>42.939130434782612</v>
      </c>
      <c r="BE17" s="12">
        <f t="shared" si="127"/>
        <v>34.091176470588209</v>
      </c>
      <c r="BF17" s="12">
        <f t="shared" si="127"/>
        <v>63.831818181818257</v>
      </c>
      <c r="BG17" s="12">
        <f t="shared" si="127"/>
        <v>109.01428571428562</v>
      </c>
      <c r="BH17" s="12">
        <f>+BH30/BH16</f>
        <v>53.482608695652182</v>
      </c>
      <c r="BI17" s="12">
        <f>+BI30/BI16</f>
        <v>70.918749999999932</v>
      </c>
      <c r="BJ17" s="12">
        <f>+BJ30/BJ16</f>
        <v>63.110526315789492</v>
      </c>
    </row>
    <row r="18" spans="2:99" x14ac:dyDescent="0.25">
      <c r="B18" s="13"/>
      <c r="BH18" s="12"/>
      <c r="BI18" s="12"/>
    </row>
    <row r="19" spans="2:99" x14ac:dyDescent="0.25">
      <c r="B19" s="13"/>
      <c r="BH19" s="12"/>
    </row>
    <row r="20" spans="2:99" s="6" customFormat="1" x14ac:dyDescent="0.25">
      <c r="B20" s="24" t="s">
        <v>112</v>
      </c>
      <c r="Y20" s="6">
        <v>-4279</v>
      </c>
      <c r="AC20" s="6">
        <v>-4646</v>
      </c>
      <c r="AD20" s="6">
        <f>-8334-AE20</f>
        <v>-3846</v>
      </c>
      <c r="AE20" s="6">
        <v>-4488</v>
      </c>
      <c r="AF20" s="6">
        <f>+BI20-AE20-AD20-AG20</f>
        <v>-4749</v>
      </c>
      <c r="AG20" s="6">
        <v>-4646</v>
      </c>
      <c r="AH20" s="6">
        <f>-8739-AI20</f>
        <v>-4209</v>
      </c>
      <c r="AI20" s="6">
        <v>-4530</v>
      </c>
      <c r="AJ20" s="6">
        <v>-4432</v>
      </c>
      <c r="AK20" s="6">
        <v>-6021</v>
      </c>
      <c r="AL20" s="6">
        <v>-4028</v>
      </c>
      <c r="BG20" s="6">
        <v>-13717</v>
      </c>
      <c r="BH20" s="6">
        <v>-16120</v>
      </c>
      <c r="BI20" s="6">
        <v>-17729</v>
      </c>
      <c r="BJ20" s="6">
        <f>-4370*4</f>
        <v>-17480</v>
      </c>
      <c r="BK20" s="6">
        <f t="shared" ref="BK20:BT20" si="128">-4370*4</f>
        <v>-17480</v>
      </c>
      <c r="BL20" s="6">
        <f t="shared" si="128"/>
        <v>-17480</v>
      </c>
      <c r="BM20" s="6">
        <f t="shared" si="128"/>
        <v>-17480</v>
      </c>
      <c r="BN20" s="6">
        <f t="shared" si="128"/>
        <v>-17480</v>
      </c>
      <c r="BO20" s="6">
        <f t="shared" si="128"/>
        <v>-17480</v>
      </c>
      <c r="BP20" s="6">
        <f t="shared" si="128"/>
        <v>-17480</v>
      </c>
      <c r="BQ20" s="6">
        <f t="shared" si="128"/>
        <v>-17480</v>
      </c>
      <c r="BR20" s="6">
        <f t="shared" si="128"/>
        <v>-17480</v>
      </c>
      <c r="BS20" s="6">
        <f t="shared" si="128"/>
        <v>-17480</v>
      </c>
      <c r="BT20" s="6">
        <f t="shared" si="128"/>
        <v>-17480</v>
      </c>
    </row>
    <row r="21" spans="2:99" x14ac:dyDescent="0.25">
      <c r="B21" s="23"/>
      <c r="BH21" s="12"/>
      <c r="BI21" s="12"/>
    </row>
    <row r="22" spans="2:99" x14ac:dyDescent="0.25">
      <c r="B22" s="13"/>
      <c r="BH22" s="12"/>
      <c r="BI22" s="12"/>
    </row>
    <row r="23" spans="2:99" s="6" customFormat="1" x14ac:dyDescent="0.25">
      <c r="B23" s="14" t="s">
        <v>80</v>
      </c>
      <c r="M23" s="6">
        <v>20736</v>
      </c>
      <c r="N23" s="6">
        <v>17737</v>
      </c>
      <c r="O23" s="6">
        <v>18321</v>
      </c>
      <c r="P23" s="6">
        <v>21221</v>
      </c>
      <c r="Q23" s="6">
        <v>27187</v>
      </c>
      <c r="R23" s="6">
        <v>25439</v>
      </c>
      <c r="S23" s="6">
        <v>28580</v>
      </c>
      <c r="T23" s="6">
        <v>28276</v>
      </c>
      <c r="U23" s="6">
        <v>32639</v>
      </c>
      <c r="Y23" s="6">
        <v>31254</v>
      </c>
      <c r="AC23" s="6">
        <v>38706</v>
      </c>
      <c r="AD23" s="6">
        <v>35635</v>
      </c>
      <c r="AE23" s="6">
        <v>38329</v>
      </c>
      <c r="AF23" s="6">
        <f>+BI23-AE23-AD23-AG23</f>
        <v>39886</v>
      </c>
      <c r="AG23" s="6">
        <v>46783</v>
      </c>
      <c r="AH23" s="6">
        <v>41392</v>
      </c>
      <c r="AI23" s="6">
        <v>46563</v>
      </c>
      <c r="AJ23" s="6">
        <v>50082</v>
      </c>
      <c r="AK23" s="6">
        <v>58137</v>
      </c>
      <c r="AL23" s="6">
        <v>55024</v>
      </c>
      <c r="BE23" s="6">
        <f>+SUM(N23:Q23)</f>
        <v>84466</v>
      </c>
      <c r="BF23" s="6">
        <f>+SUM(R23:U23)</f>
        <v>114934</v>
      </c>
      <c r="BG23" s="6">
        <v>113642</v>
      </c>
      <c r="BH23" s="6">
        <v>131948</v>
      </c>
      <c r="BI23" s="6">
        <v>160633</v>
      </c>
      <c r="BJ23" s="6">
        <v>196175</v>
      </c>
      <c r="BK23" s="6">
        <f t="shared" ref="BK23:BO23" si="129">+BK13*BK14*1000</f>
        <v>225839.47236479996</v>
      </c>
      <c r="BL23" s="6">
        <f t="shared" si="129"/>
        <v>263299.69148542173</v>
      </c>
      <c r="BM23" s="6">
        <f t="shared" si="129"/>
        <v>306973.47461180011</v>
      </c>
      <c r="BN23" s="6">
        <f t="shared" si="129"/>
        <v>357891.47181913391</v>
      </c>
      <c r="BO23" s="6">
        <f t="shared" si="129"/>
        <v>417255.28814124543</v>
      </c>
      <c r="BP23" s="6">
        <f t="shared" ref="BP23" si="130">+BP13*BP14*1000</f>
        <v>486465.84004052193</v>
      </c>
    </row>
    <row r="24" spans="2:99" s="6" customFormat="1" x14ac:dyDescent="0.25">
      <c r="B24" s="14" t="s">
        <v>79</v>
      </c>
      <c r="M24" s="6">
        <v>346</v>
      </c>
      <c r="N24" s="6">
        <v>297</v>
      </c>
      <c r="O24" s="6">
        <v>366</v>
      </c>
      <c r="P24" s="6">
        <v>249</v>
      </c>
      <c r="Q24" s="6">
        <v>885</v>
      </c>
      <c r="R24" s="6">
        <v>732</v>
      </c>
      <c r="S24" s="6">
        <v>497</v>
      </c>
      <c r="T24" s="6">
        <v>734</v>
      </c>
      <c r="U24" s="6">
        <v>1032</v>
      </c>
      <c r="Y24" s="6">
        <v>184</v>
      </c>
      <c r="AC24" s="6">
        <v>334</v>
      </c>
      <c r="AD24" s="6">
        <v>380</v>
      </c>
      <c r="AE24" s="6">
        <v>389</v>
      </c>
      <c r="AF24" s="6">
        <f>+BI24-AE24-AD24-AG24</f>
        <v>434</v>
      </c>
      <c r="AG24" s="6">
        <v>519</v>
      </c>
      <c r="AH24" s="6">
        <v>510</v>
      </c>
      <c r="AI24" s="6">
        <v>583</v>
      </c>
      <c r="AJ24" s="6">
        <v>690</v>
      </c>
      <c r="AK24" s="6">
        <v>801</v>
      </c>
      <c r="AL24" s="6">
        <v>885</v>
      </c>
      <c r="BE24" s="6">
        <f>+SUM(N24:Q24)</f>
        <v>1797</v>
      </c>
      <c r="BF24" s="6">
        <f>+SUM(R24:U24)</f>
        <v>2995</v>
      </c>
      <c r="BG24" s="6">
        <v>808</v>
      </c>
      <c r="BH24" s="6">
        <v>1058</v>
      </c>
      <c r="BI24" s="6">
        <v>1722</v>
      </c>
      <c r="BJ24" s="6">
        <v>2584</v>
      </c>
      <c r="BK24" s="6">
        <f>+BJ24*1.03</f>
        <v>2661.52</v>
      </c>
      <c r="BL24" s="6">
        <f t="shared" ref="BL24:BP24" si="131">+BK24*1.03</f>
        <v>2741.3656000000001</v>
      </c>
      <c r="BM24" s="6">
        <f t="shared" si="131"/>
        <v>2823.6065680000002</v>
      </c>
      <c r="BN24" s="6">
        <f t="shared" si="131"/>
        <v>2908.3147650400001</v>
      </c>
      <c r="BO24" s="6">
        <f t="shared" si="131"/>
        <v>2995.5642079912004</v>
      </c>
      <c r="BP24" s="6">
        <f t="shared" si="131"/>
        <v>3085.4311342309366</v>
      </c>
    </row>
    <row r="25" spans="2:99" s="6" customFormat="1" x14ac:dyDescent="0.25">
      <c r="B25" s="14" t="s">
        <v>78</v>
      </c>
      <c r="M25" s="6">
        <v>0</v>
      </c>
      <c r="N25" s="6">
        <v>0</v>
      </c>
      <c r="O25" s="6">
        <v>0</v>
      </c>
      <c r="P25" s="6">
        <v>0</v>
      </c>
      <c r="Q25" s="6">
        <v>0</v>
      </c>
      <c r="R25" s="6">
        <v>0</v>
      </c>
      <c r="S25" s="6">
        <v>0</v>
      </c>
      <c r="T25" s="6">
        <v>0</v>
      </c>
      <c r="U25" s="6">
        <v>0</v>
      </c>
      <c r="Y25" s="6">
        <v>727</v>
      </c>
      <c r="AC25" s="6">
        <v>1071</v>
      </c>
      <c r="AD25" s="6">
        <v>440</v>
      </c>
      <c r="AE25" s="6">
        <v>353</v>
      </c>
      <c r="AF25" s="6">
        <f>+BI25-AE25-AD25-AG25</f>
        <v>270</v>
      </c>
      <c r="AG25" s="6">
        <v>1083</v>
      </c>
      <c r="AH25" s="6">
        <v>412</v>
      </c>
      <c r="AI25" s="6">
        <v>370</v>
      </c>
      <c r="AJ25" s="6">
        <v>470</v>
      </c>
      <c r="AK25" s="6">
        <v>955</v>
      </c>
      <c r="AL25" s="6">
        <v>402</v>
      </c>
      <c r="BE25" s="6">
        <f>+SUM(N25:Q25)</f>
        <v>0</v>
      </c>
      <c r="BF25" s="6">
        <f>+SUM(R25:U25)</f>
        <v>0</v>
      </c>
      <c r="BG25" s="6">
        <v>2159</v>
      </c>
      <c r="BH25" s="6">
        <v>1896</v>
      </c>
      <c r="BI25" s="6">
        <v>2146</v>
      </c>
      <c r="BJ25" s="6">
        <v>2207</v>
      </c>
      <c r="BK25" s="6">
        <f>+BJ25*1.03</f>
        <v>2273.21</v>
      </c>
      <c r="BL25" s="6">
        <f t="shared" ref="BL25:BP25" si="132">+BK25*1.03</f>
        <v>2341.4063000000001</v>
      </c>
      <c r="BM25" s="6">
        <f t="shared" si="132"/>
        <v>2411.6484890000002</v>
      </c>
      <c r="BN25" s="6">
        <f t="shared" si="132"/>
        <v>2483.99794367</v>
      </c>
      <c r="BO25" s="6">
        <f t="shared" si="132"/>
        <v>2558.5178819800999</v>
      </c>
      <c r="BP25" s="6">
        <f t="shared" si="132"/>
        <v>2635.2734184395031</v>
      </c>
    </row>
    <row r="26" spans="2:99" s="4" customFormat="1" x14ac:dyDescent="0.25">
      <c r="B26" s="4" t="s">
        <v>16</v>
      </c>
      <c r="C26" s="5"/>
      <c r="D26" s="5"/>
      <c r="E26" s="5"/>
      <c r="F26" s="5"/>
      <c r="G26" s="5"/>
      <c r="H26" s="5"/>
      <c r="I26" s="5"/>
      <c r="J26" s="5"/>
      <c r="K26" s="5"/>
      <c r="L26" s="5"/>
      <c r="M26" s="5">
        <f>+SUM(M23:M25)</f>
        <v>21082</v>
      </c>
      <c r="N26" s="5">
        <v>17737</v>
      </c>
      <c r="O26" s="5">
        <v>18687</v>
      </c>
      <c r="P26" s="5">
        <f>+SUM(P23:P25)</f>
        <v>21470</v>
      </c>
      <c r="Q26" s="5">
        <f>+SUM(Q23:Q25)</f>
        <v>28072</v>
      </c>
      <c r="R26" s="5">
        <v>26171</v>
      </c>
      <c r="S26" s="5">
        <v>29077</v>
      </c>
      <c r="T26" s="5">
        <f>+SUM(T23:T25)</f>
        <v>29010</v>
      </c>
      <c r="U26" s="5">
        <f>+SUM(U23:U25)</f>
        <v>33671</v>
      </c>
      <c r="V26" s="5">
        <v>27908</v>
      </c>
      <c r="W26" s="5">
        <v>28822</v>
      </c>
      <c r="X26" s="5"/>
      <c r="Y26" s="5">
        <f>+SUM(Y23:Y25)</f>
        <v>32165</v>
      </c>
      <c r="Z26" s="5">
        <v>28645</v>
      </c>
      <c r="AA26" s="5">
        <v>31999</v>
      </c>
      <c r="AB26" s="5">
        <v>34146</v>
      </c>
      <c r="AC26" s="5">
        <f>+SUM(BH26)-SUM(Z26:AB26)</f>
        <v>40112</v>
      </c>
      <c r="AD26" s="5">
        <v>36455</v>
      </c>
      <c r="AE26" s="5">
        <v>39071</v>
      </c>
      <c r="AF26" s="5">
        <v>40589</v>
      </c>
      <c r="AG26" s="5">
        <f>+SUM(BI26)-SUM(AD26:AF26)</f>
        <v>48386</v>
      </c>
      <c r="AH26" s="5">
        <v>42314</v>
      </c>
      <c r="AI26" s="5">
        <v>47516</v>
      </c>
      <c r="AJ26" s="5">
        <f>+SUM(AJ23:AJ25)</f>
        <v>51242</v>
      </c>
      <c r="AK26" s="5">
        <v>59893</v>
      </c>
      <c r="AL26" s="5">
        <v>56311</v>
      </c>
      <c r="AM26" s="5">
        <v>59520</v>
      </c>
      <c r="AN26" s="5">
        <v>62760</v>
      </c>
      <c r="AO26" s="5">
        <v>72840</v>
      </c>
      <c r="AP26" s="5"/>
      <c r="AQ26" s="5"/>
      <c r="AR26" s="5"/>
      <c r="AS26" s="5"/>
      <c r="AT26" s="5"/>
      <c r="AU26" s="5"/>
      <c r="AV26" s="5"/>
      <c r="AW26" s="5"/>
      <c r="AX26" s="5">
        <v>7872</v>
      </c>
      <c r="AY26" s="5">
        <v>12466</v>
      </c>
      <c r="AZ26" s="5">
        <v>17928</v>
      </c>
      <c r="BA26" s="5">
        <v>27638</v>
      </c>
      <c r="BB26" s="5">
        <v>40653</v>
      </c>
      <c r="BC26" s="5">
        <v>55838</v>
      </c>
      <c r="BD26" s="5">
        <v>70697</v>
      </c>
      <c r="BE26" s="5">
        <v>85965</v>
      </c>
      <c r="BF26" s="5">
        <v>117929</v>
      </c>
      <c r="BG26" s="5">
        <v>116609</v>
      </c>
      <c r="BH26" s="5">
        <v>134902</v>
      </c>
      <c r="BI26" s="5">
        <v>164501</v>
      </c>
      <c r="BJ26" s="5">
        <v>200966</v>
      </c>
      <c r="BK26" s="5">
        <f t="shared" ref="BK26:BO26" si="133">+SUM(BK23:BK25)</f>
        <v>230774.20236479994</v>
      </c>
      <c r="BL26" s="5">
        <f t="shared" si="133"/>
        <v>268382.46338542172</v>
      </c>
      <c r="BM26" s="5">
        <f t="shared" si="133"/>
        <v>312208.72966880008</v>
      </c>
      <c r="BN26" s="5">
        <f t="shared" si="133"/>
        <v>363283.78452784393</v>
      </c>
      <c r="BO26" s="5">
        <f t="shared" si="133"/>
        <v>422809.37023121672</v>
      </c>
      <c r="BP26" s="5">
        <f t="shared" ref="BP26:BT26" si="134">+BP14*BP13*1000</f>
        <v>486465.84004052193</v>
      </c>
      <c r="BQ26" s="5">
        <f t="shared" si="134"/>
        <v>567156.41539388325</v>
      </c>
      <c r="BR26" s="5">
        <f t="shared" si="134"/>
        <v>661231.21717168204</v>
      </c>
      <c r="BS26" s="5">
        <f t="shared" si="134"/>
        <v>770910.30039516604</v>
      </c>
      <c r="BT26" s="5">
        <f t="shared" si="134"/>
        <v>898781.96283201256</v>
      </c>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row>
    <row r="27" spans="2:99" x14ac:dyDescent="0.25">
      <c r="B27" s="3" t="s">
        <v>17</v>
      </c>
      <c r="C27" s="6"/>
      <c r="D27" s="6"/>
      <c r="E27" s="6"/>
      <c r="F27" s="6"/>
      <c r="G27" s="6"/>
      <c r="H27" s="6"/>
      <c r="I27" s="6"/>
      <c r="J27" s="6"/>
      <c r="K27" s="6"/>
      <c r="L27" s="6"/>
      <c r="M27" s="6"/>
      <c r="N27" s="6">
        <v>3459</v>
      </c>
      <c r="O27" s="6">
        <v>3829</v>
      </c>
      <c r="P27" s="6"/>
      <c r="Q27" s="6"/>
      <c r="R27" s="6">
        <v>5131</v>
      </c>
      <c r="S27" s="6">
        <v>5399</v>
      </c>
      <c r="T27" s="6"/>
      <c r="U27" s="6"/>
      <c r="V27" s="6">
        <v>6005</v>
      </c>
      <c r="W27" s="6">
        <v>5192</v>
      </c>
      <c r="X27" s="6"/>
      <c r="Y27" s="6"/>
      <c r="Z27" s="6">
        <v>6108</v>
      </c>
      <c r="AA27" s="6">
        <v>5945</v>
      </c>
      <c r="AB27" s="6">
        <v>6210</v>
      </c>
      <c r="AC27" s="14">
        <f>+SUM(BH27)-SUM(Z27:AB27)</f>
        <v>7696</v>
      </c>
      <c r="AD27" s="6">
        <v>6640</v>
      </c>
      <c r="AE27" s="6">
        <v>7308</v>
      </c>
      <c r="AF27" s="6">
        <v>7375</v>
      </c>
      <c r="AG27" s="14">
        <f t="shared" ref="AG27:AG38" si="135">+SUM(BI27)-SUM(AD27:AF27)</f>
        <v>8838</v>
      </c>
      <c r="AH27" s="6">
        <v>7572</v>
      </c>
      <c r="AI27" s="6">
        <v>8491</v>
      </c>
      <c r="AJ27" s="6">
        <v>9206</v>
      </c>
      <c r="AK27" s="6">
        <v>10905</v>
      </c>
      <c r="AL27" s="6">
        <v>10218</v>
      </c>
      <c r="AM27" s="6"/>
      <c r="AN27" s="6"/>
      <c r="AO27" s="6"/>
      <c r="AP27" s="6"/>
      <c r="AQ27" s="6"/>
      <c r="AR27" s="6"/>
      <c r="AS27" s="6"/>
      <c r="AT27" s="6"/>
      <c r="AU27" s="6"/>
      <c r="AV27" s="6"/>
      <c r="AW27" s="6"/>
      <c r="AX27" s="6">
        <v>1875</v>
      </c>
      <c r="AY27" s="6">
        <v>2153</v>
      </c>
      <c r="AZ27" s="6">
        <v>2867</v>
      </c>
      <c r="BA27" s="6">
        <v>3789</v>
      </c>
      <c r="BB27" s="6">
        <v>5454</v>
      </c>
      <c r="BC27" s="6">
        <v>9355</v>
      </c>
      <c r="BD27" s="6">
        <v>12770</v>
      </c>
      <c r="BE27" s="6">
        <v>16692</v>
      </c>
      <c r="BF27" s="6">
        <v>22649</v>
      </c>
      <c r="BG27" s="6">
        <v>25249</v>
      </c>
      <c r="BH27" s="6">
        <v>25959</v>
      </c>
      <c r="BI27" s="6">
        <v>30161</v>
      </c>
      <c r="BJ27" s="6">
        <v>36175</v>
      </c>
      <c r="BK27" s="6">
        <f>10900*4</f>
        <v>43600</v>
      </c>
      <c r="BL27" s="6">
        <f t="shared" ref="BL27:BP27" si="136">+BK27*1.03</f>
        <v>44908</v>
      </c>
      <c r="BM27" s="6">
        <f t="shared" si="136"/>
        <v>46255.24</v>
      </c>
      <c r="BN27" s="6">
        <f t="shared" si="136"/>
        <v>47642.897199999999</v>
      </c>
      <c r="BO27" s="6">
        <f t="shared" si="136"/>
        <v>49072.184116000004</v>
      </c>
      <c r="BP27" s="6">
        <f t="shared" si="136"/>
        <v>50544.349639480002</v>
      </c>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row>
    <row r="28" spans="2:99" x14ac:dyDescent="0.25">
      <c r="B28" s="3" t="s">
        <v>25</v>
      </c>
      <c r="C28" s="6"/>
      <c r="D28" s="6"/>
      <c r="E28" s="6"/>
      <c r="F28" s="6"/>
      <c r="G28" s="6"/>
      <c r="H28" s="6"/>
      <c r="I28" s="6"/>
      <c r="J28" s="6"/>
      <c r="K28" s="6"/>
      <c r="L28" s="6"/>
      <c r="M28" s="6"/>
      <c r="N28" s="6">
        <f>N26-N27</f>
        <v>14278</v>
      </c>
      <c r="O28" s="6">
        <f>O26-O27</f>
        <v>14858</v>
      </c>
      <c r="P28" s="6"/>
      <c r="Q28" s="6"/>
      <c r="R28" s="6">
        <f>R26-R27</f>
        <v>21040</v>
      </c>
      <c r="S28" s="6">
        <f>S26-S27</f>
        <v>23678</v>
      </c>
      <c r="T28" s="6"/>
      <c r="U28" s="6"/>
      <c r="V28" s="6">
        <f>V26-V27</f>
        <v>21903</v>
      </c>
      <c r="W28" s="6">
        <f>W26-W27</f>
        <v>23630</v>
      </c>
      <c r="X28" s="6"/>
      <c r="Y28" s="6"/>
      <c r="Z28" s="6">
        <f>Z26-Z27</f>
        <v>22537</v>
      </c>
      <c r="AA28" s="6">
        <f>AA26-AA27</f>
        <v>26054</v>
      </c>
      <c r="AB28" s="6">
        <f>AB26-AB27</f>
        <v>27936</v>
      </c>
      <c r="AC28" s="14">
        <f t="shared" ref="AC28:AC38" si="137">+SUM(BH28)-SUM(Z28:AB28)</f>
        <v>32416</v>
      </c>
      <c r="AD28" s="6">
        <f>AD26-AD27</f>
        <v>29815</v>
      </c>
      <c r="AE28" s="6">
        <f>AE26-AE27</f>
        <v>31763</v>
      </c>
      <c r="AF28" s="6">
        <f>AF26-AF27</f>
        <v>33214</v>
      </c>
      <c r="AG28" s="14">
        <f t="shared" si="135"/>
        <v>39548</v>
      </c>
      <c r="AH28" s="6">
        <f>AH26-AH27</f>
        <v>34742</v>
      </c>
      <c r="AI28" s="6">
        <f>AI26-AI27</f>
        <v>39025</v>
      </c>
      <c r="AJ28" s="6">
        <f>AJ26-AJ27</f>
        <v>42036</v>
      </c>
      <c r="AK28" s="6">
        <f>AK26-AK27</f>
        <v>48988</v>
      </c>
      <c r="AL28" s="6">
        <f>AL26-AL27</f>
        <v>46093</v>
      </c>
      <c r="AM28" s="6"/>
      <c r="AN28" s="6"/>
      <c r="AO28" s="6"/>
      <c r="AP28" s="6"/>
      <c r="AQ28" s="6"/>
      <c r="AR28" s="6"/>
      <c r="AS28" s="6"/>
      <c r="AT28" s="6"/>
      <c r="AU28" s="6"/>
      <c r="AV28" s="6"/>
      <c r="AW28" s="6"/>
      <c r="AX28" s="6">
        <f t="shared" ref="AX28:BI28" si="138">AX26-AX27</f>
        <v>5997</v>
      </c>
      <c r="AY28" s="6">
        <f t="shared" si="138"/>
        <v>10313</v>
      </c>
      <c r="AZ28" s="6">
        <f t="shared" si="138"/>
        <v>15061</v>
      </c>
      <c r="BA28" s="6">
        <f t="shared" si="138"/>
        <v>23849</v>
      </c>
      <c r="BB28" s="6">
        <f t="shared" si="138"/>
        <v>35199</v>
      </c>
      <c r="BC28" s="6">
        <f t="shared" si="138"/>
        <v>46483</v>
      </c>
      <c r="BD28" s="6">
        <f t="shared" si="138"/>
        <v>57927</v>
      </c>
      <c r="BE28" s="6">
        <f t="shared" si="138"/>
        <v>69273</v>
      </c>
      <c r="BF28" s="6">
        <f t="shared" si="138"/>
        <v>95280</v>
      </c>
      <c r="BG28" s="6">
        <f t="shared" si="138"/>
        <v>91360</v>
      </c>
      <c r="BH28" s="6">
        <f t="shared" si="138"/>
        <v>108943</v>
      </c>
      <c r="BI28" s="6">
        <f t="shared" si="138"/>
        <v>134340</v>
      </c>
      <c r="BJ28" s="6">
        <f>+BJ26*BJ46</f>
        <v>164791</v>
      </c>
      <c r="BK28" s="6">
        <f t="shared" ref="BK28:BP28" si="139">+BK26*BK46</f>
        <v>187174.20236479994</v>
      </c>
      <c r="BL28" s="6">
        <f t="shared" si="139"/>
        <v>220073.6199760458</v>
      </c>
      <c r="BM28" s="6">
        <f t="shared" si="139"/>
        <v>256011.15832841606</v>
      </c>
      <c r="BN28" s="6">
        <f t="shared" si="139"/>
        <v>297892.70331283199</v>
      </c>
      <c r="BO28" s="6">
        <f t="shared" si="139"/>
        <v>346703.6835895977</v>
      </c>
      <c r="BP28" s="6">
        <f t="shared" si="139"/>
        <v>398901.98883322795</v>
      </c>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row>
    <row r="29" spans="2:99" x14ac:dyDescent="0.25">
      <c r="B29" s="3" t="s">
        <v>18</v>
      </c>
      <c r="C29" s="6"/>
      <c r="D29" s="6"/>
      <c r="E29" s="6"/>
      <c r="F29" s="6"/>
      <c r="G29" s="6"/>
      <c r="H29" s="6"/>
      <c r="I29" s="6"/>
      <c r="J29" s="6"/>
      <c r="K29" s="6"/>
      <c r="L29" s="6"/>
      <c r="M29" s="6"/>
      <c r="N29" s="6">
        <v>4015</v>
      </c>
      <c r="O29" s="6">
        <v>4462</v>
      </c>
      <c r="P29" s="6"/>
      <c r="Q29" s="6"/>
      <c r="R29" s="6">
        <v>5197</v>
      </c>
      <c r="S29" s="6">
        <v>6096</v>
      </c>
      <c r="T29" s="6"/>
      <c r="U29" s="6"/>
      <c r="V29" s="6">
        <v>7707</v>
      </c>
      <c r="W29" s="6">
        <v>8690</v>
      </c>
      <c r="X29" s="6"/>
      <c r="Y29" s="6"/>
      <c r="Z29" s="6">
        <v>9381</v>
      </c>
      <c r="AA29" s="6">
        <v>9344</v>
      </c>
      <c r="AB29" s="6">
        <v>9241</v>
      </c>
      <c r="AC29" s="14">
        <f t="shared" si="137"/>
        <v>10517</v>
      </c>
      <c r="AD29" s="6">
        <v>9978</v>
      </c>
      <c r="AE29" s="6">
        <v>10537</v>
      </c>
      <c r="AF29" s="6">
        <v>11177</v>
      </c>
      <c r="AG29" s="14">
        <f t="shared" si="135"/>
        <v>12181</v>
      </c>
      <c r="AH29" s="6">
        <v>12150</v>
      </c>
      <c r="AI29" s="6">
        <v>12942</v>
      </c>
      <c r="AJ29" s="6">
        <v>15144</v>
      </c>
      <c r="AK29" s="6">
        <v>17136</v>
      </c>
      <c r="AL29" s="6">
        <v>17699</v>
      </c>
      <c r="AM29" s="6"/>
      <c r="AN29" s="6"/>
      <c r="AO29" s="6"/>
      <c r="AP29" s="6"/>
      <c r="AQ29" s="6"/>
      <c r="AR29" s="6"/>
      <c r="AS29" s="6"/>
      <c r="AT29" s="6"/>
      <c r="AU29" s="6"/>
      <c r="AV29" s="6"/>
      <c r="AW29" s="6"/>
      <c r="AX29" s="6">
        <v>1415</v>
      </c>
      <c r="AY29" s="6">
        <v>2666</v>
      </c>
      <c r="AZ29" s="6">
        <v>4816</v>
      </c>
      <c r="BA29" s="6">
        <v>5919</v>
      </c>
      <c r="BB29" s="6">
        <v>7754</v>
      </c>
      <c r="BC29" s="6">
        <v>10273</v>
      </c>
      <c r="BD29" s="6">
        <v>13600</v>
      </c>
      <c r="BE29" s="6">
        <v>18447</v>
      </c>
      <c r="BF29" s="6">
        <v>24655</v>
      </c>
      <c r="BG29" s="6">
        <v>35338</v>
      </c>
      <c r="BH29" s="6">
        <v>38483</v>
      </c>
      <c r="BI29" s="6">
        <v>43873</v>
      </c>
      <c r="BJ29" s="6">
        <v>57372</v>
      </c>
      <c r="BK29" s="6">
        <f>+AK29*4</f>
        <v>68544</v>
      </c>
      <c r="BL29" s="6">
        <f>+BK29+10000</f>
        <v>78544</v>
      </c>
      <c r="BM29" s="6">
        <f t="shared" ref="BM29:BO29" si="140">+BL29+10000</f>
        <v>88544</v>
      </c>
      <c r="BN29" s="6">
        <f t="shared" si="140"/>
        <v>98544</v>
      </c>
      <c r="BO29" s="6">
        <f t="shared" si="140"/>
        <v>108544</v>
      </c>
      <c r="BP29" s="6">
        <f t="shared" ref="BP29" si="141">+BO29+10000</f>
        <v>118544</v>
      </c>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row>
    <row r="30" spans="2:99" x14ac:dyDescent="0.25">
      <c r="B30" s="3" t="s">
        <v>27</v>
      </c>
      <c r="C30" s="6"/>
      <c r="D30" s="6"/>
      <c r="E30" s="6"/>
      <c r="F30" s="6"/>
      <c r="G30" s="6"/>
      <c r="H30" s="6"/>
      <c r="I30" s="6"/>
      <c r="J30" s="6"/>
      <c r="K30" s="6"/>
      <c r="L30" s="6"/>
      <c r="M30" s="6"/>
      <c r="N30" s="6">
        <v>2787</v>
      </c>
      <c r="O30" s="6">
        <v>2840</v>
      </c>
      <c r="P30" s="6"/>
      <c r="Q30" s="6"/>
      <c r="R30" s="6">
        <v>2843</v>
      </c>
      <c r="S30" s="6">
        <v>3259</v>
      </c>
      <c r="T30" s="6"/>
      <c r="U30" s="6"/>
      <c r="V30" s="6">
        <v>3312</v>
      </c>
      <c r="W30" s="6">
        <v>3595</v>
      </c>
      <c r="X30" s="6"/>
      <c r="Y30" s="6"/>
      <c r="Z30" s="6">
        <v>3044</v>
      </c>
      <c r="AA30" s="6">
        <v>3154</v>
      </c>
      <c r="AB30" s="6">
        <v>2877</v>
      </c>
      <c r="AC30" s="14">
        <f t="shared" si="137"/>
        <v>3226</v>
      </c>
      <c r="AD30" s="6">
        <v>2564</v>
      </c>
      <c r="AE30" s="6">
        <v>2721</v>
      </c>
      <c r="AF30" s="6">
        <v>2822</v>
      </c>
      <c r="AG30" s="14">
        <f t="shared" si="135"/>
        <v>3240</v>
      </c>
      <c r="AH30" s="6">
        <v>2757</v>
      </c>
      <c r="AI30" s="6">
        <v>2979</v>
      </c>
      <c r="AJ30" s="6">
        <v>2845</v>
      </c>
      <c r="AK30" s="6">
        <v>3410</v>
      </c>
      <c r="AL30" s="6">
        <v>2908</v>
      </c>
      <c r="AM30" s="6"/>
      <c r="AN30" s="6"/>
      <c r="AO30" s="6"/>
      <c r="AP30" s="6"/>
      <c r="AQ30" s="6"/>
      <c r="AR30" s="6"/>
      <c r="AS30" s="6"/>
      <c r="AT30" s="6"/>
      <c r="AU30" s="6"/>
      <c r="AV30" s="6"/>
      <c r="AW30" s="6"/>
      <c r="AX30" s="6">
        <v>997</v>
      </c>
      <c r="AY30" s="6">
        <v>1680</v>
      </c>
      <c r="AZ30" s="6">
        <v>2725</v>
      </c>
      <c r="BA30" s="6">
        <v>3772</v>
      </c>
      <c r="BB30" s="6">
        <v>4725</v>
      </c>
      <c r="BC30" s="6">
        <v>7846</v>
      </c>
      <c r="BD30" s="6">
        <v>9876</v>
      </c>
      <c r="BE30" s="6">
        <v>11591</v>
      </c>
      <c r="BF30" s="6">
        <v>14043</v>
      </c>
      <c r="BG30" s="6">
        <v>15262</v>
      </c>
      <c r="BH30" s="6">
        <v>12301</v>
      </c>
      <c r="BI30" s="6">
        <v>11347</v>
      </c>
      <c r="BJ30" s="6">
        <v>11991</v>
      </c>
      <c r="BK30" s="6">
        <f t="shared" ref="BK30:BP30" si="142">+BJ30*1.03</f>
        <v>12350.73</v>
      </c>
      <c r="BL30" s="6">
        <f t="shared" si="142"/>
        <v>12721.251899999999</v>
      </c>
      <c r="BM30" s="6">
        <f t="shared" si="142"/>
        <v>13102.889456999999</v>
      </c>
      <c r="BN30" s="6">
        <f t="shared" si="142"/>
        <v>13495.97614071</v>
      </c>
      <c r="BO30" s="6">
        <f t="shared" si="142"/>
        <v>13900.8554249313</v>
      </c>
      <c r="BP30" s="6">
        <f t="shared" si="142"/>
        <v>14317.881087679239</v>
      </c>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row>
    <row r="31" spans="2:99" x14ac:dyDescent="0.25">
      <c r="B31" s="3" t="s">
        <v>19</v>
      </c>
      <c r="C31" s="6"/>
      <c r="D31" s="6"/>
      <c r="E31" s="6"/>
      <c r="F31" s="6"/>
      <c r="G31" s="6"/>
      <c r="H31" s="6"/>
      <c r="I31" s="6"/>
      <c r="J31" s="6"/>
      <c r="K31" s="6"/>
      <c r="L31" s="6"/>
      <c r="M31" s="6"/>
      <c r="N31" s="6">
        <v>1583</v>
      </c>
      <c r="O31" s="6">
        <v>1593</v>
      </c>
      <c r="P31" s="6"/>
      <c r="Q31" s="6"/>
      <c r="R31" s="6">
        <v>1622</v>
      </c>
      <c r="S31" s="6">
        <v>1956</v>
      </c>
      <c r="T31" s="6"/>
      <c r="U31" s="6"/>
      <c r="V31" s="6">
        <v>2360</v>
      </c>
      <c r="W31" s="6">
        <v>2987</v>
      </c>
      <c r="X31" s="6"/>
      <c r="Y31" s="6"/>
      <c r="Z31" s="6">
        <v>2885</v>
      </c>
      <c r="AA31" s="6">
        <v>4164</v>
      </c>
      <c r="AB31" s="6">
        <v>2070</v>
      </c>
      <c r="AC31" s="14">
        <f t="shared" si="137"/>
        <v>2289</v>
      </c>
      <c r="AD31" s="6">
        <v>3455</v>
      </c>
      <c r="AE31" s="6">
        <v>3658</v>
      </c>
      <c r="AF31" s="6">
        <v>1865</v>
      </c>
      <c r="AG31" s="14">
        <f t="shared" si="135"/>
        <v>762</v>
      </c>
      <c r="AH31" s="6">
        <v>2280</v>
      </c>
      <c r="AI31" s="6">
        <v>2663</v>
      </c>
      <c r="AJ31" s="6">
        <v>3512</v>
      </c>
      <c r="AK31" s="6">
        <v>3697</v>
      </c>
      <c r="AL31" s="6">
        <v>2614</v>
      </c>
      <c r="AM31" s="6"/>
      <c r="AN31" s="6"/>
      <c r="AO31" s="6"/>
      <c r="AP31" s="6"/>
      <c r="AQ31" s="6"/>
      <c r="AR31" s="6"/>
      <c r="AS31" s="6"/>
      <c r="AT31" s="6"/>
      <c r="AU31" s="6"/>
      <c r="AV31" s="6"/>
      <c r="AW31" s="6"/>
      <c r="AX31" s="6">
        <v>781</v>
      </c>
      <c r="AY31" s="6">
        <v>973</v>
      </c>
      <c r="AZ31" s="6">
        <v>1295</v>
      </c>
      <c r="BA31" s="6">
        <v>1731</v>
      </c>
      <c r="BB31" s="6">
        <v>2517</v>
      </c>
      <c r="BC31" s="6">
        <v>3451</v>
      </c>
      <c r="BD31" s="6">
        <v>10465</v>
      </c>
      <c r="BE31" s="6">
        <v>6564</v>
      </c>
      <c r="BF31" s="6">
        <v>9829</v>
      </c>
      <c r="BG31" s="6">
        <v>11816</v>
      </c>
      <c r="BH31" s="6">
        <v>11408</v>
      </c>
      <c r="BI31" s="6">
        <v>9740</v>
      </c>
      <c r="BJ31" s="6">
        <v>12152</v>
      </c>
      <c r="BK31" s="6">
        <f t="shared" ref="BK31:BP31" si="143">+BJ31*1.03</f>
        <v>12516.56</v>
      </c>
      <c r="BL31" s="6">
        <f t="shared" si="143"/>
        <v>12892.0568</v>
      </c>
      <c r="BM31" s="6">
        <f t="shared" si="143"/>
        <v>13278.818504000001</v>
      </c>
      <c r="BN31" s="6">
        <f t="shared" si="143"/>
        <v>13677.183059120001</v>
      </c>
      <c r="BO31" s="6">
        <f t="shared" si="143"/>
        <v>14087.498550893602</v>
      </c>
      <c r="BP31" s="6">
        <f t="shared" si="143"/>
        <v>14510.123507420411</v>
      </c>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row>
    <row r="32" spans="2:99" x14ac:dyDescent="0.25">
      <c r="B32" s="9" t="s">
        <v>30</v>
      </c>
      <c r="C32" s="6"/>
      <c r="D32" s="6"/>
      <c r="E32" s="6"/>
      <c r="F32" s="6"/>
      <c r="G32" s="6"/>
      <c r="H32" s="6"/>
      <c r="I32" s="6"/>
      <c r="J32" s="6"/>
      <c r="K32" s="6"/>
      <c r="L32" s="6"/>
      <c r="M32" s="6"/>
      <c r="N32" s="6">
        <f t="shared" ref="N32" si="144">+SUM(N29:N31)</f>
        <v>8385</v>
      </c>
      <c r="O32" s="6">
        <f t="shared" ref="O32" si="145">+SUM(O29:O31)</f>
        <v>8895</v>
      </c>
      <c r="P32" s="6"/>
      <c r="Q32" s="6"/>
      <c r="R32" s="6">
        <f t="shared" ref="R32:S32" si="146">+SUM(R29:R31)</f>
        <v>9662</v>
      </c>
      <c r="S32" s="6">
        <f t="shared" si="146"/>
        <v>11311</v>
      </c>
      <c r="T32" s="6"/>
      <c r="U32" s="6"/>
      <c r="V32" s="6">
        <f t="shared" ref="V32" si="147">+SUM(V29:V31)</f>
        <v>13379</v>
      </c>
      <c r="W32" s="6">
        <f t="shared" ref="W32" si="148">+SUM(W29:W31)</f>
        <v>15272</v>
      </c>
      <c r="X32" s="6"/>
      <c r="Y32" s="6"/>
      <c r="Z32" s="6">
        <f t="shared" ref="Z32:AB32" si="149">+SUM(Z29:Z31)</f>
        <v>15310</v>
      </c>
      <c r="AA32" s="6">
        <f t="shared" si="149"/>
        <v>16662</v>
      </c>
      <c r="AB32" s="6">
        <f t="shared" si="149"/>
        <v>14188</v>
      </c>
      <c r="AC32" s="14">
        <f t="shared" si="137"/>
        <v>16032</v>
      </c>
      <c r="AD32" s="6">
        <f t="shared" ref="AD32:AE32" si="150">+SUM(AD29:AD31)</f>
        <v>15997</v>
      </c>
      <c r="AE32" s="6">
        <f t="shared" si="150"/>
        <v>16916</v>
      </c>
      <c r="AF32" s="6">
        <f t="shared" ref="AF32" si="151">+SUM(AF29:AF31)</f>
        <v>15864</v>
      </c>
      <c r="AG32" s="14">
        <f t="shared" si="135"/>
        <v>16183</v>
      </c>
      <c r="AH32" s="6">
        <f t="shared" ref="AH32:AI32" si="152">+SUM(AH29:AH31)</f>
        <v>17187</v>
      </c>
      <c r="AI32" s="6">
        <f t="shared" si="152"/>
        <v>18584</v>
      </c>
      <c r="AJ32" s="6">
        <f t="shared" ref="AJ32:AK32" si="153">+SUM(AJ29:AJ31)</f>
        <v>21501</v>
      </c>
      <c r="AK32" s="6">
        <f t="shared" si="153"/>
        <v>24243</v>
      </c>
      <c r="AL32" s="6">
        <f t="shared" ref="AL32" si="154">+SUM(AL29:AL31)</f>
        <v>23221</v>
      </c>
      <c r="AM32" s="6"/>
      <c r="AN32" s="6"/>
      <c r="AO32" s="6"/>
      <c r="AP32" s="6"/>
      <c r="AQ32" s="6"/>
      <c r="AR32" s="6"/>
      <c r="AS32" s="6"/>
      <c r="AT32" s="6"/>
      <c r="AU32" s="6"/>
      <c r="AV32" s="6"/>
      <c r="AW32" s="6"/>
      <c r="AX32" s="6">
        <f t="shared" ref="AX32" si="155">+SUM(AX29:AX31)</f>
        <v>3193</v>
      </c>
      <c r="AY32" s="6">
        <f t="shared" ref="AY32" si="156">+SUM(AY29:AY31)</f>
        <v>5319</v>
      </c>
      <c r="AZ32" s="6">
        <f t="shared" ref="AZ32:BA32" si="157">+SUM(AZ29:AZ31)</f>
        <v>8836</v>
      </c>
      <c r="BA32" s="6">
        <f t="shared" si="157"/>
        <v>11422</v>
      </c>
      <c r="BB32" s="6">
        <f t="shared" ref="BB32:BC32" si="158">+SUM(BB29:BB31)</f>
        <v>14996</v>
      </c>
      <c r="BC32" s="6">
        <f t="shared" si="158"/>
        <v>21570</v>
      </c>
      <c r="BD32" s="6">
        <f t="shared" ref="BD32:BE32" si="159">+SUM(BD29:BD31)</f>
        <v>33941</v>
      </c>
      <c r="BE32" s="6">
        <f t="shared" si="159"/>
        <v>36602</v>
      </c>
      <c r="BF32" s="6">
        <f t="shared" ref="BF32:BG32" si="160">+SUM(BF29:BF31)</f>
        <v>48527</v>
      </c>
      <c r="BG32" s="6">
        <f t="shared" si="160"/>
        <v>62416</v>
      </c>
      <c r="BH32" s="6">
        <f>+SUM(BH29:BH31)</f>
        <v>62192</v>
      </c>
      <c r="BI32" s="6">
        <f>+SUM(BI29:BI31)</f>
        <v>64960</v>
      </c>
      <c r="BJ32" s="6">
        <f>+SUM(BJ29:BJ31)</f>
        <v>81515</v>
      </c>
      <c r="BK32" s="6">
        <f t="shared" ref="BK32:BO32" si="161">+SUM(BK29:BK31)</f>
        <v>93411.29</v>
      </c>
      <c r="BL32" s="6">
        <f t="shared" si="161"/>
        <v>104157.30870000001</v>
      </c>
      <c r="BM32" s="6">
        <f t="shared" si="161"/>
        <v>114925.70796099999</v>
      </c>
      <c r="BN32" s="6">
        <f t="shared" si="161"/>
        <v>125717.15919983</v>
      </c>
      <c r="BO32" s="6">
        <f t="shared" si="161"/>
        <v>136532.3539758249</v>
      </c>
      <c r="BP32" s="6">
        <f t="shared" ref="BP32" si="162">+SUM(BP29:BP31)</f>
        <v>147372.00459509966</v>
      </c>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row>
    <row r="33" spans="2:172" x14ac:dyDescent="0.25">
      <c r="B33" s="9" t="s">
        <v>31</v>
      </c>
      <c r="C33" s="6"/>
      <c r="D33" s="6"/>
      <c r="E33" s="6"/>
      <c r="F33" s="6"/>
      <c r="G33" s="6"/>
      <c r="H33" s="6"/>
      <c r="I33" s="6"/>
      <c r="J33" s="6"/>
      <c r="K33" s="6"/>
      <c r="L33" s="6"/>
      <c r="M33" s="6"/>
      <c r="N33" s="6">
        <f t="shared" ref="N33" si="163">N28-N32</f>
        <v>5893</v>
      </c>
      <c r="O33" s="6">
        <f t="shared" ref="O33" si="164">O28-O32</f>
        <v>5963</v>
      </c>
      <c r="P33" s="6"/>
      <c r="Q33" s="6"/>
      <c r="R33" s="6">
        <f t="shared" ref="R33:S33" si="165">R28-R32</f>
        <v>11378</v>
      </c>
      <c r="S33" s="6">
        <f t="shared" si="165"/>
        <v>12367</v>
      </c>
      <c r="T33" s="6"/>
      <c r="U33" s="6"/>
      <c r="V33" s="6">
        <f t="shared" ref="V33" si="166">V28-V32</f>
        <v>8524</v>
      </c>
      <c r="W33" s="6">
        <f t="shared" ref="W33" si="167">W28-W32</f>
        <v>8358</v>
      </c>
      <c r="X33" s="6"/>
      <c r="Y33" s="6"/>
      <c r="Z33" s="6">
        <f t="shared" ref="Z33:AB33" si="168">Z28-Z32</f>
        <v>7227</v>
      </c>
      <c r="AA33" s="6">
        <f t="shared" si="168"/>
        <v>9392</v>
      </c>
      <c r="AB33" s="6">
        <f t="shared" si="168"/>
        <v>13748</v>
      </c>
      <c r="AC33" s="14">
        <f t="shared" si="137"/>
        <v>16384</v>
      </c>
      <c r="AD33" s="6">
        <f t="shared" ref="AD33:AE33" si="169">AD28-AD32</f>
        <v>13818</v>
      </c>
      <c r="AE33" s="6">
        <f t="shared" si="169"/>
        <v>14847</v>
      </c>
      <c r="AF33" s="6">
        <f t="shared" ref="AF33" si="170">AF28-AF32</f>
        <v>17350</v>
      </c>
      <c r="AG33" s="14">
        <f t="shared" si="135"/>
        <v>23365</v>
      </c>
      <c r="AH33" s="6">
        <f t="shared" ref="AH33:AI33" si="171">AH28-AH32</f>
        <v>17555</v>
      </c>
      <c r="AI33" s="6">
        <f t="shared" si="171"/>
        <v>20441</v>
      </c>
      <c r="AJ33" s="6">
        <f t="shared" ref="AJ33:AK33" si="172">AJ28-AJ32</f>
        <v>20535</v>
      </c>
      <c r="AK33" s="6">
        <f t="shared" si="172"/>
        <v>24745</v>
      </c>
      <c r="AL33" s="6">
        <f t="shared" ref="AL33" si="173">AL28-AL32</f>
        <v>22872</v>
      </c>
      <c r="AM33" s="6"/>
      <c r="AN33" s="6"/>
      <c r="AO33" s="6"/>
      <c r="AP33" s="6"/>
      <c r="AQ33" s="6"/>
      <c r="AR33" s="6"/>
      <c r="AS33" s="6"/>
      <c r="AT33" s="6"/>
      <c r="AU33" s="6"/>
      <c r="AV33" s="6"/>
      <c r="AW33" s="6"/>
      <c r="AX33" s="6">
        <f t="shared" ref="AX33" si="174">AX28-AX32</f>
        <v>2804</v>
      </c>
      <c r="AY33" s="6">
        <f t="shared" ref="AY33" si="175">AY28-AY32</f>
        <v>4994</v>
      </c>
      <c r="AZ33" s="6">
        <f t="shared" ref="AZ33:BA33" si="176">AZ28-AZ32</f>
        <v>6225</v>
      </c>
      <c r="BA33" s="6">
        <f t="shared" si="176"/>
        <v>12427</v>
      </c>
      <c r="BB33" s="6">
        <f t="shared" ref="BB33:BC33" si="177">BB28-BB32</f>
        <v>20203</v>
      </c>
      <c r="BC33" s="6">
        <f t="shared" si="177"/>
        <v>24913</v>
      </c>
      <c r="BD33" s="6">
        <f t="shared" ref="BD33:BE33" si="178">BD28-BD32</f>
        <v>23986</v>
      </c>
      <c r="BE33" s="6">
        <f t="shared" si="178"/>
        <v>32671</v>
      </c>
      <c r="BF33" s="6">
        <f t="shared" ref="BF33:BG33" si="179">BF28-BF32</f>
        <v>46753</v>
      </c>
      <c r="BG33" s="6">
        <f t="shared" si="179"/>
        <v>28944</v>
      </c>
      <c r="BH33" s="6">
        <f>BH28-BH32</f>
        <v>46751</v>
      </c>
      <c r="BI33" s="6">
        <f>BI28-BI32</f>
        <v>69380</v>
      </c>
      <c r="BJ33" s="6">
        <f>BJ28-BJ32</f>
        <v>83276</v>
      </c>
      <c r="BK33" s="6">
        <f t="shared" ref="BK33:BO33" si="180">BK28-BK32</f>
        <v>93762.912364799951</v>
      </c>
      <c r="BL33" s="6">
        <f t="shared" si="180"/>
        <v>115916.31127604579</v>
      </c>
      <c r="BM33" s="6">
        <f t="shared" si="180"/>
        <v>141085.45036741608</v>
      </c>
      <c r="BN33" s="6">
        <f t="shared" si="180"/>
        <v>172175.54411300199</v>
      </c>
      <c r="BO33" s="6">
        <f t="shared" si="180"/>
        <v>210171.3296137728</v>
      </c>
      <c r="BP33" s="6">
        <f t="shared" ref="BP33" si="181">BP28-BP32</f>
        <v>251529.98423812829</v>
      </c>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row>
    <row r="34" spans="2:172" x14ac:dyDescent="0.25">
      <c r="B34" s="9" t="s">
        <v>32</v>
      </c>
      <c r="C34" s="6"/>
      <c r="D34" s="6"/>
      <c r="E34" s="6"/>
      <c r="F34" s="6"/>
      <c r="G34" s="6"/>
      <c r="H34" s="6"/>
      <c r="I34" s="6"/>
      <c r="J34" s="6"/>
      <c r="K34" s="6"/>
      <c r="L34" s="6"/>
      <c r="M34" s="6"/>
      <c r="N34" s="6">
        <v>-32</v>
      </c>
      <c r="O34" s="6">
        <v>168</v>
      </c>
      <c r="P34" s="6"/>
      <c r="Q34" s="6"/>
      <c r="R34" s="6">
        <v>125</v>
      </c>
      <c r="S34" s="6">
        <v>146</v>
      </c>
      <c r="T34" s="6"/>
      <c r="U34" s="6"/>
      <c r="V34" s="6">
        <v>384</v>
      </c>
      <c r="W34" s="6">
        <v>-172</v>
      </c>
      <c r="X34" s="6"/>
      <c r="Y34" s="6"/>
      <c r="Z34" s="6">
        <v>80</v>
      </c>
      <c r="AA34" s="6">
        <v>-99</v>
      </c>
      <c r="AB34" s="6">
        <v>272</v>
      </c>
      <c r="AC34" s="14">
        <f t="shared" si="137"/>
        <v>424</v>
      </c>
      <c r="AD34" s="6">
        <v>365</v>
      </c>
      <c r="AE34" s="6">
        <v>259</v>
      </c>
      <c r="AF34" s="6">
        <v>472</v>
      </c>
      <c r="AG34" s="14">
        <f t="shared" si="135"/>
        <v>187</v>
      </c>
      <c r="AH34" s="6">
        <v>827</v>
      </c>
      <c r="AI34" s="6">
        <v>93</v>
      </c>
      <c r="AJ34" s="6">
        <v>1128</v>
      </c>
      <c r="AK34" s="6">
        <v>609</v>
      </c>
      <c r="AL34" s="6">
        <v>-1120</v>
      </c>
      <c r="AM34" s="6"/>
      <c r="AN34" s="6"/>
      <c r="AO34" s="6"/>
      <c r="AP34" s="6"/>
      <c r="AQ34" s="6"/>
      <c r="AR34" s="6"/>
      <c r="AS34" s="6"/>
      <c r="AT34" s="6"/>
      <c r="AU34" s="6"/>
      <c r="AV34" s="6"/>
      <c r="AW34" s="6"/>
      <c r="AX34" s="6">
        <v>-50</v>
      </c>
      <c r="AY34" s="6">
        <v>-84</v>
      </c>
      <c r="AZ34" s="6">
        <v>-31</v>
      </c>
      <c r="BA34" s="6">
        <v>91</v>
      </c>
      <c r="BB34" s="6">
        <v>391</v>
      </c>
      <c r="BC34" s="6">
        <v>448</v>
      </c>
      <c r="BD34" s="6">
        <v>826</v>
      </c>
      <c r="BE34" s="6">
        <v>509</v>
      </c>
      <c r="BF34" s="6">
        <v>531</v>
      </c>
      <c r="BG34" s="6">
        <v>-125</v>
      </c>
      <c r="BH34" s="6">
        <v>677</v>
      </c>
      <c r="BI34" s="6">
        <v>1283</v>
      </c>
      <c r="BJ34" s="6">
        <v>2656</v>
      </c>
      <c r="BK34" s="6">
        <f>+BJ102*$BY$44</f>
        <v>1631.8400000000001</v>
      </c>
      <c r="BL34" s="6">
        <f t="shared" ref="BL34:BP34" si="182">+BK102*$BY$44</f>
        <v>3291.7086911475194</v>
      </c>
      <c r="BM34" s="6">
        <f t="shared" si="182"/>
        <v>5365.9282385766837</v>
      </c>
      <c r="BN34" s="6">
        <f t="shared" si="182"/>
        <v>7914.1822263209569</v>
      </c>
      <c r="BO34" s="6">
        <f t="shared" si="182"/>
        <v>11047.743464625175</v>
      </c>
      <c r="BP34" s="6">
        <f t="shared" si="182"/>
        <v>14896.955336189301</v>
      </c>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row>
    <row r="35" spans="2:172" x14ac:dyDescent="0.25">
      <c r="B35" s="13" t="s">
        <v>96</v>
      </c>
      <c r="C35" s="6"/>
      <c r="D35" s="6"/>
      <c r="E35" s="6"/>
      <c r="F35" s="6"/>
      <c r="G35" s="6"/>
      <c r="H35" s="6"/>
      <c r="I35" s="6"/>
      <c r="J35" s="6"/>
      <c r="K35" s="6"/>
      <c r="L35" s="6"/>
      <c r="M35" s="6"/>
      <c r="N35" s="6">
        <f t="shared" ref="N35" si="183">+SUM(N33:N34)</f>
        <v>5861</v>
      </c>
      <c r="O35" s="6">
        <f t="shared" ref="O35" si="184">+SUM(O33:O34)</f>
        <v>6131</v>
      </c>
      <c r="P35" s="6"/>
      <c r="Q35" s="6"/>
      <c r="R35" s="6">
        <f t="shared" ref="R35:S35" si="185">+SUM(R33:R34)</f>
        <v>11503</v>
      </c>
      <c r="S35" s="6">
        <f t="shared" si="185"/>
        <v>12513</v>
      </c>
      <c r="T35" s="6"/>
      <c r="U35" s="6"/>
      <c r="V35" s="6">
        <f t="shared" ref="V35" si="186">+SUM(V33:V34)</f>
        <v>8908</v>
      </c>
      <c r="W35" s="6">
        <f t="shared" ref="W35" si="187">+SUM(W33:W34)</f>
        <v>8186</v>
      </c>
      <c r="X35" s="6"/>
      <c r="Y35" s="6"/>
      <c r="Z35" s="6">
        <f t="shared" ref="Z35:AB35" si="188">+SUM(Z33:Z34)</f>
        <v>7307</v>
      </c>
      <c r="AA35" s="6">
        <f t="shared" si="188"/>
        <v>9293</v>
      </c>
      <c r="AB35" s="6">
        <f t="shared" si="188"/>
        <v>14020</v>
      </c>
      <c r="AC35" s="14">
        <f t="shared" si="137"/>
        <v>16808</v>
      </c>
      <c r="AD35" s="6">
        <f t="shared" ref="AD35:AE35" si="189">+SUM(AD33:AD34)</f>
        <v>14183</v>
      </c>
      <c r="AE35" s="6">
        <f t="shared" si="189"/>
        <v>15106</v>
      </c>
      <c r="AF35" s="6">
        <f t="shared" ref="AF35" si="190">+SUM(AF33:AF34)</f>
        <v>17822</v>
      </c>
      <c r="AG35" s="14">
        <f t="shared" si="135"/>
        <v>23552</v>
      </c>
      <c r="AH35" s="6">
        <f t="shared" ref="AH35:AL35" si="191">+SUM(AH33:AH34)</f>
        <v>18382</v>
      </c>
      <c r="AI35" s="6">
        <f t="shared" si="191"/>
        <v>20534</v>
      </c>
      <c r="AJ35" s="6">
        <f t="shared" si="191"/>
        <v>21663</v>
      </c>
      <c r="AK35" s="6">
        <f t="shared" si="191"/>
        <v>25354</v>
      </c>
      <c r="AL35" s="6">
        <f t="shared" si="191"/>
        <v>21752</v>
      </c>
      <c r="AM35" s="6"/>
      <c r="AN35" s="6"/>
      <c r="AO35" s="6"/>
      <c r="AP35" s="6"/>
      <c r="AQ35" s="6"/>
      <c r="AR35" s="6"/>
      <c r="AS35" s="6"/>
      <c r="AT35" s="6"/>
      <c r="AU35" s="6"/>
      <c r="AV35" s="6"/>
      <c r="AW35" s="6"/>
      <c r="AX35" s="6">
        <f t="shared" ref="AX35:BA35" si="192">+SUM(AX33:AX34)</f>
        <v>2754</v>
      </c>
      <c r="AY35" s="6">
        <f t="shared" si="192"/>
        <v>4910</v>
      </c>
      <c r="AZ35" s="6">
        <f t="shared" si="192"/>
        <v>6194</v>
      </c>
      <c r="BA35" s="6">
        <f t="shared" si="192"/>
        <v>12518</v>
      </c>
      <c r="BB35" s="6">
        <f t="shared" ref="BB35:BC35" si="193">+SUM(BB33:BB34)</f>
        <v>20594</v>
      </c>
      <c r="BC35" s="6">
        <f t="shared" si="193"/>
        <v>25361</v>
      </c>
      <c r="BD35" s="6">
        <f t="shared" ref="BD35:BE35" si="194">+SUM(BD33:BD34)</f>
        <v>24812</v>
      </c>
      <c r="BE35" s="6">
        <f t="shared" si="194"/>
        <v>33180</v>
      </c>
      <c r="BF35" s="6">
        <f t="shared" ref="BF35:BG35" si="195">+SUM(BF33:BF34)</f>
        <v>47284</v>
      </c>
      <c r="BG35" s="6">
        <f t="shared" si="195"/>
        <v>28819</v>
      </c>
      <c r="BH35" s="6">
        <f>+SUM(BH33:BH34)</f>
        <v>47428</v>
      </c>
      <c r="BI35" s="6">
        <f>+SUM(BI33:BI34)</f>
        <v>70663</v>
      </c>
      <c r="BJ35" s="6">
        <f>+SUM(BJ33:BJ34)</f>
        <v>85932</v>
      </c>
      <c r="BK35" s="6">
        <f t="shared" ref="BK35:BP35" si="196">+SUM(BK33:BK34)</f>
        <v>95394.752364799948</v>
      </c>
      <c r="BL35" s="6">
        <f t="shared" si="196"/>
        <v>119208.01996719331</v>
      </c>
      <c r="BM35" s="6">
        <f t="shared" si="196"/>
        <v>146451.37860599277</v>
      </c>
      <c r="BN35" s="6">
        <f t="shared" si="196"/>
        <v>180089.72633932295</v>
      </c>
      <c r="BO35" s="6">
        <f t="shared" si="196"/>
        <v>221219.07307839798</v>
      </c>
      <c r="BP35" s="6">
        <f t="shared" si="196"/>
        <v>266426.9395743176</v>
      </c>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row>
    <row r="36" spans="2:172" x14ac:dyDescent="0.25">
      <c r="B36" s="9" t="s">
        <v>33</v>
      </c>
      <c r="C36" s="6"/>
      <c r="D36" s="6"/>
      <c r="E36" s="6"/>
      <c r="F36" s="6"/>
      <c r="G36" s="6"/>
      <c r="H36" s="6"/>
      <c r="I36" s="6"/>
      <c r="J36" s="6"/>
      <c r="K36" s="6"/>
      <c r="L36" s="6"/>
      <c r="M36" s="6"/>
      <c r="N36" s="6">
        <v>959</v>
      </c>
      <c r="O36" s="6">
        <v>953</v>
      </c>
      <c r="P36" s="6"/>
      <c r="Q36" s="6"/>
      <c r="R36" s="6">
        <v>2006</v>
      </c>
      <c r="S36" s="6">
        <v>2119</v>
      </c>
      <c r="T36" s="6"/>
      <c r="U36" s="6"/>
      <c r="V36" s="6">
        <v>1443</v>
      </c>
      <c r="W36" s="6">
        <v>1499</v>
      </c>
      <c r="X36" s="6"/>
      <c r="Y36" s="6"/>
      <c r="Z36" s="6">
        <v>1598</v>
      </c>
      <c r="AA36" s="6">
        <v>1505</v>
      </c>
      <c r="AB36" s="6">
        <v>2437</v>
      </c>
      <c r="AC36" s="14">
        <f t="shared" si="137"/>
        <v>2790</v>
      </c>
      <c r="AD36" s="6">
        <v>1814</v>
      </c>
      <c r="AE36" s="6">
        <v>1641</v>
      </c>
      <c r="AF36" s="6">
        <v>2134</v>
      </c>
      <c r="AG36" s="14">
        <f t="shared" si="135"/>
        <v>2714</v>
      </c>
      <c r="AH36" s="6">
        <v>1738</v>
      </c>
      <c r="AI36" s="6">
        <v>2197</v>
      </c>
      <c r="AJ36" s="28">
        <f>18954-15930</f>
        <v>3024</v>
      </c>
      <c r="AK36" s="6">
        <v>2586</v>
      </c>
      <c r="AL36" s="28">
        <f>+AL35*0.14</f>
        <v>3045.28</v>
      </c>
      <c r="AM36" s="6"/>
      <c r="AN36" s="6"/>
      <c r="AO36" s="6"/>
      <c r="AP36" s="6"/>
      <c r="AQ36" s="6"/>
      <c r="AR36" s="6"/>
      <c r="AS36" s="6"/>
      <c r="AT36" s="6"/>
      <c r="AU36" s="6"/>
      <c r="AV36" s="6"/>
      <c r="AW36" s="6"/>
      <c r="AX36" s="6">
        <v>1254</v>
      </c>
      <c r="AY36" s="6">
        <v>1970</v>
      </c>
      <c r="AZ36" s="6">
        <v>2506</v>
      </c>
      <c r="BA36" s="6">
        <v>2301</v>
      </c>
      <c r="BB36" s="6">
        <v>4660</v>
      </c>
      <c r="BC36" s="6">
        <v>3249</v>
      </c>
      <c r="BD36" s="6">
        <v>6237</v>
      </c>
      <c r="BE36" s="6">
        <v>4034</v>
      </c>
      <c r="BF36" s="6">
        <v>7914</v>
      </c>
      <c r="BG36" s="6">
        <v>5619</v>
      </c>
      <c r="BH36" s="6">
        <v>8330</v>
      </c>
      <c r="BI36" s="6">
        <v>8303</v>
      </c>
      <c r="BJ36" s="6">
        <v>9545</v>
      </c>
      <c r="BK36" s="6">
        <f t="shared" ref="BK36:BP36" si="197">+BK35*BK45</f>
        <v>12401.317807423993</v>
      </c>
      <c r="BL36" s="6">
        <f t="shared" si="197"/>
        <v>15497.042595735131</v>
      </c>
      <c r="BM36" s="6">
        <f t="shared" si="197"/>
        <v>19038.67921877906</v>
      </c>
      <c r="BN36" s="6">
        <f t="shared" si="197"/>
        <v>23411.664424111983</v>
      </c>
      <c r="BO36" s="6">
        <f t="shared" si="197"/>
        <v>28758.479500191737</v>
      </c>
      <c r="BP36" s="6">
        <f t="shared" si="197"/>
        <v>34635.502144661288</v>
      </c>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row>
    <row r="37" spans="2:172" x14ac:dyDescent="0.25">
      <c r="B37" s="9" t="s">
        <v>34</v>
      </c>
      <c r="C37" s="6"/>
      <c r="D37" s="6"/>
      <c r="E37" s="6"/>
      <c r="F37" s="6"/>
      <c r="G37" s="6"/>
      <c r="H37" s="6"/>
      <c r="I37" s="6"/>
      <c r="J37" s="6"/>
      <c r="K37" s="6"/>
      <c r="L37" s="6"/>
      <c r="M37" s="6"/>
      <c r="N37" s="6">
        <f>N35-N36</f>
        <v>4902</v>
      </c>
      <c r="O37" s="6">
        <f>O35-O36</f>
        <v>5178</v>
      </c>
      <c r="P37" s="6"/>
      <c r="Q37" s="6"/>
      <c r="R37" s="6">
        <f>R35-R36</f>
        <v>9497</v>
      </c>
      <c r="S37" s="6">
        <f>S35-S36</f>
        <v>10394</v>
      </c>
      <c r="T37" s="6"/>
      <c r="U37" s="6"/>
      <c r="V37" s="6">
        <f>V35-V36</f>
        <v>7465</v>
      </c>
      <c r="W37" s="6">
        <f>W35-W36</f>
        <v>6687</v>
      </c>
      <c r="X37" s="6"/>
      <c r="Y37" s="6"/>
      <c r="Z37" s="6">
        <f>Z35-Z36</f>
        <v>5709</v>
      </c>
      <c r="AA37" s="6">
        <f>AA35-AA36</f>
        <v>7788</v>
      </c>
      <c r="AB37" s="6">
        <f>AB35-AB36</f>
        <v>11583</v>
      </c>
      <c r="AC37" s="14">
        <f t="shared" si="137"/>
        <v>14018</v>
      </c>
      <c r="AD37" s="6">
        <f>AD35-AD36</f>
        <v>12369</v>
      </c>
      <c r="AE37" s="6">
        <f>AE35-AE36</f>
        <v>13465</v>
      </c>
      <c r="AF37" s="6">
        <f>AF35-AF36</f>
        <v>15688</v>
      </c>
      <c r="AG37" s="14">
        <f t="shared" si="135"/>
        <v>20838</v>
      </c>
      <c r="AH37" s="6">
        <f>AH35-AH36</f>
        <v>16644</v>
      </c>
      <c r="AI37" s="6">
        <f>AI35-AI36</f>
        <v>18337</v>
      </c>
      <c r="AJ37" s="6">
        <f>AJ35-AJ36</f>
        <v>18639</v>
      </c>
      <c r="AK37" s="6">
        <f>AK35-AK36</f>
        <v>22768</v>
      </c>
      <c r="AL37" s="6">
        <f>AL35-AL36</f>
        <v>18706.72</v>
      </c>
      <c r="AM37" s="6">
        <v>18270</v>
      </c>
      <c r="AN37" s="6">
        <v>18350</v>
      </c>
      <c r="AO37" s="6">
        <v>22270</v>
      </c>
      <c r="AP37" s="6"/>
      <c r="AQ37" s="6"/>
      <c r="AR37" s="6"/>
      <c r="AS37" s="6"/>
      <c r="AT37" s="6"/>
      <c r="AU37" s="6"/>
      <c r="AV37" s="6"/>
      <c r="AW37" s="6"/>
      <c r="AX37" s="6">
        <f t="shared" ref="AX37:BP37" si="198">AX35-AX36</f>
        <v>1500</v>
      </c>
      <c r="AY37" s="6">
        <f t="shared" si="198"/>
        <v>2940</v>
      </c>
      <c r="AZ37" s="6">
        <f t="shared" si="198"/>
        <v>3688</v>
      </c>
      <c r="BA37" s="6">
        <f t="shared" si="198"/>
        <v>10217</v>
      </c>
      <c r="BB37" s="6">
        <f t="shared" si="198"/>
        <v>15934</v>
      </c>
      <c r="BC37" s="6">
        <f t="shared" si="198"/>
        <v>22112</v>
      </c>
      <c r="BD37" s="6">
        <f t="shared" si="198"/>
        <v>18575</v>
      </c>
      <c r="BE37" s="6">
        <f t="shared" si="198"/>
        <v>29146</v>
      </c>
      <c r="BF37" s="6">
        <f t="shared" si="198"/>
        <v>39370</v>
      </c>
      <c r="BG37" s="6">
        <f t="shared" si="198"/>
        <v>23200</v>
      </c>
      <c r="BH37" s="6">
        <f t="shared" si="198"/>
        <v>39098</v>
      </c>
      <c r="BI37" s="6">
        <f t="shared" si="198"/>
        <v>62360</v>
      </c>
      <c r="BJ37" s="6">
        <f t="shared" si="198"/>
        <v>76387</v>
      </c>
      <c r="BK37" s="6">
        <f t="shared" si="198"/>
        <v>82993.434557375949</v>
      </c>
      <c r="BL37" s="6">
        <f t="shared" si="198"/>
        <v>103710.97737145818</v>
      </c>
      <c r="BM37" s="6">
        <f t="shared" si="198"/>
        <v>127412.69938721371</v>
      </c>
      <c r="BN37" s="6">
        <f t="shared" si="198"/>
        <v>156678.06191521097</v>
      </c>
      <c r="BO37" s="6">
        <f t="shared" si="198"/>
        <v>192460.59357820626</v>
      </c>
      <c r="BP37" s="6">
        <f t="shared" si="198"/>
        <v>231791.4374296563</v>
      </c>
      <c r="BQ37" s="6">
        <f t="shared" ref="BQ37:BT37" si="199">+BQ26*BQ48</f>
        <v>215519.43784967563</v>
      </c>
      <c r="BR37" s="6">
        <f t="shared" si="199"/>
        <v>251267.86252523918</v>
      </c>
      <c r="BS37" s="6">
        <f t="shared" si="199"/>
        <v>292945.91415016312</v>
      </c>
      <c r="BT37" s="6">
        <f t="shared" si="199"/>
        <v>341537.14587616478</v>
      </c>
      <c r="BU37" s="6">
        <f t="shared" ref="BU37:CU37" si="200">BT37*(1+$BY$42)</f>
        <v>344952.51733492641</v>
      </c>
      <c r="BV37" s="6">
        <f t="shared" si="200"/>
        <v>348402.04250827566</v>
      </c>
      <c r="BW37" s="6">
        <f t="shared" si="200"/>
        <v>351886.06293335842</v>
      </c>
      <c r="BX37" s="6">
        <f t="shared" si="200"/>
        <v>355404.92356269201</v>
      </c>
      <c r="BY37" s="6">
        <f t="shared" si="200"/>
        <v>358958.97279831895</v>
      </c>
      <c r="BZ37" s="6">
        <f t="shared" si="200"/>
        <v>362548.56252630212</v>
      </c>
      <c r="CA37" s="6">
        <f t="shared" si="200"/>
        <v>366174.04815156513</v>
      </c>
      <c r="CB37" s="6">
        <f t="shared" si="200"/>
        <v>369835.78863308078</v>
      </c>
      <c r="CC37" s="6">
        <f t="shared" si="200"/>
        <v>373534.14651941159</v>
      </c>
      <c r="CD37" s="6">
        <f t="shared" si="200"/>
        <v>377269.48798460572</v>
      </c>
      <c r="CE37" s="6">
        <f t="shared" si="200"/>
        <v>381042.18286445178</v>
      </c>
      <c r="CF37" s="6">
        <f t="shared" si="200"/>
        <v>384852.60469309631</v>
      </c>
      <c r="CG37" s="6">
        <f t="shared" si="200"/>
        <v>388701.13074002729</v>
      </c>
      <c r="CH37" s="6">
        <f t="shared" si="200"/>
        <v>392588.14204742759</v>
      </c>
      <c r="CI37" s="6">
        <f t="shared" si="200"/>
        <v>396514.02346790186</v>
      </c>
      <c r="CJ37" s="6">
        <f t="shared" si="200"/>
        <v>400479.1637025809</v>
      </c>
      <c r="CK37" s="6">
        <f t="shared" si="200"/>
        <v>404483.95533960673</v>
      </c>
      <c r="CL37" s="6">
        <f t="shared" si="200"/>
        <v>408528.79489300278</v>
      </c>
      <c r="CM37" s="6">
        <f t="shared" si="200"/>
        <v>412614.08284193283</v>
      </c>
      <c r="CN37" s="6">
        <f t="shared" si="200"/>
        <v>416740.22367035219</v>
      </c>
      <c r="CO37" s="6">
        <f t="shared" si="200"/>
        <v>420907.62590705574</v>
      </c>
      <c r="CP37" s="6">
        <f t="shared" si="200"/>
        <v>425116.70216612628</v>
      </c>
      <c r="CQ37" s="6">
        <f t="shared" si="200"/>
        <v>429367.86918778752</v>
      </c>
      <c r="CR37" s="6">
        <f t="shared" si="200"/>
        <v>433661.54787966539</v>
      </c>
      <c r="CS37" s="6">
        <f t="shared" si="200"/>
        <v>437998.16335846204</v>
      </c>
      <c r="CT37" s="6">
        <f t="shared" si="200"/>
        <v>442378.14499204664</v>
      </c>
      <c r="CU37" s="6">
        <f t="shared" si="200"/>
        <v>446801.92644196714</v>
      </c>
      <c r="CV37" s="6">
        <f t="shared" ref="CV37:EA37" si="201">CU37*(1+$BY$42)</f>
        <v>451269.94570638682</v>
      </c>
      <c r="CW37" s="6">
        <f t="shared" si="201"/>
        <v>455782.64516345068</v>
      </c>
      <c r="CX37" s="6">
        <f t="shared" si="201"/>
        <v>460340.4716150852</v>
      </c>
      <c r="CY37" s="6">
        <f t="shared" si="201"/>
        <v>464943.87633123604</v>
      </c>
      <c r="CZ37" s="6">
        <f t="shared" si="201"/>
        <v>469593.31509454839</v>
      </c>
      <c r="DA37" s="6">
        <f t="shared" si="201"/>
        <v>474289.24824549386</v>
      </c>
      <c r="DB37" s="6">
        <f t="shared" si="201"/>
        <v>479032.1407279488</v>
      </c>
      <c r="DC37" s="6">
        <f t="shared" si="201"/>
        <v>483822.46213522827</v>
      </c>
      <c r="DD37" s="6">
        <f t="shared" si="201"/>
        <v>488660.68675658054</v>
      </c>
      <c r="DE37" s="6">
        <f t="shared" si="201"/>
        <v>493547.29362414638</v>
      </c>
      <c r="DF37" s="6">
        <f t="shared" si="201"/>
        <v>498482.76656038786</v>
      </c>
      <c r="DG37" s="6">
        <f t="shared" si="201"/>
        <v>503467.59422599175</v>
      </c>
      <c r="DH37" s="6">
        <f t="shared" si="201"/>
        <v>508502.27016825165</v>
      </c>
      <c r="DI37" s="6">
        <f t="shared" si="201"/>
        <v>513587.29286993417</v>
      </c>
      <c r="DJ37" s="6">
        <f t="shared" si="201"/>
        <v>518723.16579863353</v>
      </c>
      <c r="DK37" s="6">
        <f t="shared" si="201"/>
        <v>523910.39745661989</v>
      </c>
      <c r="DL37" s="6">
        <f t="shared" si="201"/>
        <v>529149.5014311861</v>
      </c>
      <c r="DM37" s="6">
        <f t="shared" si="201"/>
        <v>534440.99644549796</v>
      </c>
      <c r="DN37" s="6">
        <f t="shared" si="201"/>
        <v>539785.40640995291</v>
      </c>
      <c r="DO37" s="6">
        <f t="shared" si="201"/>
        <v>545183.2604740524</v>
      </c>
      <c r="DP37" s="6">
        <f t="shared" si="201"/>
        <v>550635.09307879291</v>
      </c>
      <c r="DQ37" s="6">
        <f t="shared" si="201"/>
        <v>556141.44400958088</v>
      </c>
      <c r="DR37" s="6">
        <f t="shared" si="201"/>
        <v>561702.85844967666</v>
      </c>
      <c r="DS37" s="6">
        <f t="shared" si="201"/>
        <v>567319.88703417347</v>
      </c>
      <c r="DT37" s="6">
        <f t="shared" si="201"/>
        <v>572993.08590451523</v>
      </c>
      <c r="DU37" s="6">
        <f t="shared" si="201"/>
        <v>578723.01676356036</v>
      </c>
      <c r="DV37" s="6">
        <f t="shared" si="201"/>
        <v>584510.24693119596</v>
      </c>
      <c r="DW37" s="6">
        <f t="shared" si="201"/>
        <v>590355.34940050787</v>
      </c>
      <c r="DX37" s="6">
        <f t="shared" si="201"/>
        <v>596258.90289451298</v>
      </c>
      <c r="DY37" s="6">
        <f t="shared" si="201"/>
        <v>602221.49192345818</v>
      </c>
      <c r="DZ37" s="6">
        <f t="shared" si="201"/>
        <v>608243.7068426928</v>
      </c>
      <c r="EA37" s="6">
        <f t="shared" si="201"/>
        <v>614326.14391111978</v>
      </c>
      <c r="EB37" s="6">
        <f t="shared" ref="EB37:FG37" si="202">EA37*(1+$BY$42)</f>
        <v>620469.40535023098</v>
      </c>
      <c r="EC37" s="6">
        <f t="shared" si="202"/>
        <v>626674.09940373327</v>
      </c>
      <c r="ED37" s="6">
        <f t="shared" si="202"/>
        <v>632940.84039777063</v>
      </c>
      <c r="EE37" s="6">
        <f t="shared" si="202"/>
        <v>639270.24880174838</v>
      </c>
      <c r="EF37" s="6">
        <f t="shared" si="202"/>
        <v>645662.95128976589</v>
      </c>
      <c r="EG37" s="6">
        <f t="shared" si="202"/>
        <v>652119.58080266358</v>
      </c>
      <c r="EH37" s="6">
        <f t="shared" si="202"/>
        <v>658640.77661069017</v>
      </c>
      <c r="EI37" s="6">
        <f t="shared" si="202"/>
        <v>665227.18437679706</v>
      </c>
      <c r="EJ37" s="6">
        <f t="shared" si="202"/>
        <v>671879.45622056501</v>
      </c>
      <c r="EK37" s="6">
        <f t="shared" si="202"/>
        <v>678598.25078277069</v>
      </c>
      <c r="EL37" s="6">
        <f t="shared" si="202"/>
        <v>685384.23329059838</v>
      </c>
      <c r="EM37" s="6">
        <f t="shared" si="202"/>
        <v>692238.07562350435</v>
      </c>
      <c r="EN37" s="6">
        <f t="shared" si="202"/>
        <v>699160.45637973945</v>
      </c>
      <c r="EO37" s="6">
        <f t="shared" si="202"/>
        <v>706152.06094353681</v>
      </c>
      <c r="EP37" s="6">
        <f t="shared" si="202"/>
        <v>713213.5815529722</v>
      </c>
      <c r="EQ37" s="6">
        <f t="shared" si="202"/>
        <v>720345.71736850194</v>
      </c>
      <c r="ER37" s="6">
        <f t="shared" si="202"/>
        <v>727549.17454218701</v>
      </c>
      <c r="ES37" s="6">
        <f t="shared" si="202"/>
        <v>734824.66628760891</v>
      </c>
      <c r="ET37" s="6">
        <f t="shared" si="202"/>
        <v>742172.91295048501</v>
      </c>
      <c r="EU37" s="6">
        <f t="shared" si="202"/>
        <v>749594.64207998989</v>
      </c>
      <c r="EV37" s="6">
        <f t="shared" si="202"/>
        <v>757090.58850078983</v>
      </c>
      <c r="EW37" s="6">
        <f t="shared" si="202"/>
        <v>764661.49438579776</v>
      </c>
      <c r="EX37" s="6">
        <f t="shared" si="202"/>
        <v>772308.10932965577</v>
      </c>
      <c r="EY37" s="6">
        <f t="shared" si="202"/>
        <v>780031.19042295229</v>
      </c>
      <c r="EZ37" s="6">
        <f t="shared" si="202"/>
        <v>787831.50232718186</v>
      </c>
      <c r="FA37" s="6">
        <f t="shared" si="202"/>
        <v>795709.8173504537</v>
      </c>
      <c r="FB37" s="6">
        <f t="shared" si="202"/>
        <v>803666.91552395828</v>
      </c>
      <c r="FC37" s="6">
        <f t="shared" si="202"/>
        <v>811703.58467919787</v>
      </c>
      <c r="FD37" s="6">
        <f t="shared" si="202"/>
        <v>819820.6205259898</v>
      </c>
      <c r="FE37" s="6">
        <f t="shared" si="202"/>
        <v>828018.82673124969</v>
      </c>
      <c r="FF37" s="6">
        <f t="shared" si="202"/>
        <v>836299.01499856217</v>
      </c>
      <c r="FG37" s="6">
        <f t="shared" si="202"/>
        <v>844662.00514854782</v>
      </c>
      <c r="FH37" s="6">
        <f t="shared" ref="FH37:FP37" si="203">FG37*(1+$BY$42)</f>
        <v>853108.6252000333</v>
      </c>
      <c r="FI37" s="6">
        <f t="shared" si="203"/>
        <v>861639.7114520336</v>
      </c>
      <c r="FJ37" s="6">
        <f t="shared" si="203"/>
        <v>870256.10856655391</v>
      </c>
      <c r="FK37" s="6">
        <f t="shared" si="203"/>
        <v>878958.66965221951</v>
      </c>
      <c r="FL37" s="6">
        <f t="shared" si="203"/>
        <v>887748.25634874171</v>
      </c>
      <c r="FM37" s="6">
        <f t="shared" si="203"/>
        <v>896625.73891222908</v>
      </c>
      <c r="FN37" s="6">
        <f t="shared" si="203"/>
        <v>905591.99630135135</v>
      </c>
      <c r="FO37" s="6">
        <f t="shared" si="203"/>
        <v>914647.91626436485</v>
      </c>
      <c r="FP37" s="6">
        <f t="shared" si="203"/>
        <v>923794.39542700851</v>
      </c>
    </row>
    <row r="38" spans="2:172" s="12" customFormat="1" x14ac:dyDescent="0.25">
      <c r="B38" s="12" t="s">
        <v>28</v>
      </c>
      <c r="N38" s="12">
        <v>1.72</v>
      </c>
      <c r="O38" s="12">
        <v>1.82</v>
      </c>
      <c r="R38" s="12">
        <v>3.34</v>
      </c>
      <c r="S38" s="12">
        <v>3.67</v>
      </c>
      <c r="V38" s="12">
        <v>2.74</v>
      </c>
      <c r="W38" s="12">
        <v>2.4700000000000002</v>
      </c>
      <c r="Z38" s="12">
        <v>2.21</v>
      </c>
      <c r="AA38" s="12">
        <v>3.03</v>
      </c>
      <c r="AB38" s="12">
        <v>4.5</v>
      </c>
      <c r="AC38" s="16">
        <f t="shared" si="137"/>
        <v>5.4499999999999993</v>
      </c>
      <c r="AD38" s="12">
        <v>4.8600000000000003</v>
      </c>
      <c r="AE38" s="12">
        <v>5.31</v>
      </c>
      <c r="AF38" s="12">
        <v>6.2</v>
      </c>
      <c r="AG38" s="16">
        <f t="shared" si="135"/>
        <v>8.2399999999999984</v>
      </c>
      <c r="AH38" s="12">
        <v>6.59</v>
      </c>
      <c r="AI38" s="12">
        <f>+AI37/AI39</f>
        <v>7.2823669579030978</v>
      </c>
      <c r="AJ38" s="12">
        <f>+AJ37/AJ39</f>
        <v>7.4052443384982123</v>
      </c>
      <c r="AK38" s="12">
        <f>+AK37/AK39</f>
        <v>9.0170297029702962</v>
      </c>
      <c r="AL38" s="12">
        <f>+AL37/AL39</f>
        <v>7.3822888713496457</v>
      </c>
      <c r="AM38" s="12">
        <v>7.14</v>
      </c>
      <c r="AN38" s="12">
        <v>7.15</v>
      </c>
      <c r="AO38" s="12">
        <v>8.66</v>
      </c>
      <c r="AX38" s="12">
        <f>+AX37/AX39</f>
        <v>0.6198347107438017</v>
      </c>
      <c r="AY38" s="12">
        <f>+AY37/AY39</f>
        <v>1.1247130833970926</v>
      </c>
      <c r="AZ38" s="12">
        <f>+AZ37/AZ39</f>
        <v>1.315733143061006</v>
      </c>
      <c r="BA38" s="12">
        <v>3.56</v>
      </c>
      <c r="BB38" s="12">
        <v>5.49</v>
      </c>
      <c r="BC38" s="12">
        <v>7.65</v>
      </c>
      <c r="BD38" s="12">
        <v>6.48</v>
      </c>
      <c r="BE38" s="12">
        <v>10.220000000000001</v>
      </c>
      <c r="BF38" s="12">
        <v>13.99</v>
      </c>
      <c r="BG38" s="12">
        <v>8.6300000000000008</v>
      </c>
      <c r="BH38" s="12">
        <v>15.19</v>
      </c>
      <c r="BI38" s="12">
        <v>24.61</v>
      </c>
      <c r="BJ38" s="12">
        <f>+BJ37/BJ39</f>
        <v>30.300277667592226</v>
      </c>
    </row>
    <row r="39" spans="2:172" x14ac:dyDescent="0.25">
      <c r="B39" s="3" t="s">
        <v>29</v>
      </c>
      <c r="C39" s="6"/>
      <c r="D39" s="6"/>
      <c r="E39" s="6"/>
      <c r="F39" s="6"/>
      <c r="G39" s="6"/>
      <c r="H39" s="6"/>
      <c r="I39" s="6"/>
      <c r="J39" s="6"/>
      <c r="K39" s="6"/>
      <c r="L39" s="6"/>
      <c r="M39" s="6"/>
      <c r="N39" s="6">
        <v>2851</v>
      </c>
      <c r="O39" s="6">
        <v>2850</v>
      </c>
      <c r="P39" s="6"/>
      <c r="Q39" s="6"/>
      <c r="R39" s="6">
        <v>2847</v>
      </c>
      <c r="S39" s="6">
        <v>2834</v>
      </c>
      <c r="T39" s="6"/>
      <c r="U39" s="6"/>
      <c r="V39" s="6">
        <v>2725</v>
      </c>
      <c r="W39" s="6">
        <v>2704</v>
      </c>
      <c r="X39" s="6"/>
      <c r="Y39" s="6"/>
      <c r="Z39" s="6">
        <v>2587</v>
      </c>
      <c r="AA39" s="6">
        <v>2568</v>
      </c>
      <c r="AB39" s="6">
        <v>2576</v>
      </c>
      <c r="AC39" s="6">
        <v>2574</v>
      </c>
      <c r="AD39" s="6">
        <v>2545</v>
      </c>
      <c r="AE39" s="6">
        <v>2534</v>
      </c>
      <c r="AF39" s="6">
        <v>2529</v>
      </c>
      <c r="AG39" s="6">
        <v>2534</v>
      </c>
      <c r="AH39" s="6">
        <v>2527</v>
      </c>
      <c r="AI39" s="6">
        <v>2518</v>
      </c>
      <c r="AJ39" s="6">
        <v>2517</v>
      </c>
      <c r="AK39" s="6">
        <v>2525</v>
      </c>
      <c r="AL39" s="6">
        <v>2534</v>
      </c>
      <c r="AM39" s="6"/>
      <c r="AN39" s="6"/>
      <c r="AO39" s="6"/>
      <c r="AP39" s="6"/>
      <c r="AQ39" s="6"/>
      <c r="AR39" s="6"/>
      <c r="AS39" s="6"/>
      <c r="AT39" s="6"/>
      <c r="AU39" s="6"/>
      <c r="AV39" s="6"/>
      <c r="AW39" s="6"/>
      <c r="AX39" s="6">
        <v>2420</v>
      </c>
      <c r="AY39" s="6">
        <v>2614</v>
      </c>
      <c r="AZ39" s="6">
        <v>2803</v>
      </c>
      <c r="BA39" s="6">
        <v>2863</v>
      </c>
      <c r="BB39" s="6">
        <v>2901</v>
      </c>
      <c r="BC39" s="6">
        <v>2890</v>
      </c>
      <c r="BD39" s="6">
        <v>2854</v>
      </c>
      <c r="BE39" s="6">
        <v>2851</v>
      </c>
      <c r="BF39" s="6">
        <v>2815</v>
      </c>
      <c r="BG39" s="6">
        <v>2687</v>
      </c>
      <c r="BH39" s="6">
        <v>2574</v>
      </c>
      <c r="BI39" s="6">
        <v>2534</v>
      </c>
      <c r="BJ39" s="6">
        <v>2521</v>
      </c>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row>
    <row r="40" spans="2:172" x14ac:dyDescent="0.25">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row>
    <row r="41" spans="2:172" x14ac:dyDescent="0.25">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7"/>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row>
    <row r="42" spans="2:172" s="7" customFormat="1" x14ac:dyDescent="0.25">
      <c r="B42" s="17" t="s">
        <v>68</v>
      </c>
      <c r="S42" s="7">
        <f>+S13/O13-1</f>
        <v>7.1825249907441657E-2</v>
      </c>
      <c r="T42" s="7">
        <f t="shared" ref="T42" si="204">+T13/P13-1</f>
        <v>6.2043795620437825E-2</v>
      </c>
      <c r="U42" s="7">
        <f t="shared" ref="U42" si="205">+U13/Q13-1</f>
        <v>4.0400429031104856E-2</v>
      </c>
      <c r="V42" s="7">
        <f t="shared" ref="V42" si="206">+V13/R13-1</f>
        <v>5.9586400280406959E-3</v>
      </c>
      <c r="W42" s="7">
        <f t="shared" ref="W42" si="207">+W13/S13-1</f>
        <v>-5.1813471502590858E-3</v>
      </c>
      <c r="X42" s="7">
        <f t="shared" ref="X42" si="208">+X13/T13-1</f>
        <v>6.8728522336769515E-3</v>
      </c>
      <c r="Y42" s="7">
        <f t="shared" ref="Y42" si="209">+Y13/U13-1</f>
        <v>1.7182130584192379E-2</v>
      </c>
      <c r="Z42" s="7">
        <f t="shared" ref="Z42" si="210">+Z13/V13-1</f>
        <v>5.2264808362369353E-2</v>
      </c>
      <c r="AA42" s="7">
        <f t="shared" ref="AA42" si="211">+AA13/W13-1</f>
        <v>6.5972222222222099E-2</v>
      </c>
      <c r="AB42" s="7">
        <f t="shared" ref="AB42" si="212">+AB13/X13-1</f>
        <v>7.1672354948805417E-2</v>
      </c>
      <c r="AC42" s="7">
        <f t="shared" ref="AC42:AL43" si="213">+AC13/Y13-1</f>
        <v>7.7702702702702631E-2</v>
      </c>
      <c r="AD42" s="7">
        <f t="shared" si="213"/>
        <v>7.2847682119205448E-2</v>
      </c>
      <c r="AE42" s="7">
        <f t="shared" si="213"/>
        <v>6.514657980456029E-2</v>
      </c>
      <c r="AF42" s="7">
        <f t="shared" si="213"/>
        <v>4.7770700636942554E-2</v>
      </c>
      <c r="AG42" s="7">
        <f t="shared" si="213"/>
        <v>5.0156739811912265E-2</v>
      </c>
      <c r="AH42" s="7">
        <f t="shared" si="213"/>
        <v>5.8641975308642014E-2</v>
      </c>
      <c r="AI42" s="7">
        <f t="shared" si="213"/>
        <v>6.4220183486238591E-2</v>
      </c>
      <c r="AJ42" s="7">
        <f t="shared" si="213"/>
        <v>7.5987841945288848E-2</v>
      </c>
      <c r="AK42" s="7">
        <f t="shared" si="213"/>
        <v>6.8656716417910379E-2</v>
      </c>
      <c r="AL42" s="7">
        <f t="shared" si="213"/>
        <v>3.790087463556846E-2</v>
      </c>
      <c r="AX42" s="27"/>
      <c r="AY42" s="27"/>
      <c r="AZ42" s="27"/>
      <c r="BA42" s="27"/>
      <c r="BB42" s="27"/>
      <c r="BC42" s="27"/>
      <c r="BD42" s="27">
        <f t="shared" ref="BD42:BJ42" si="214">+BD13/BC13-1</f>
        <v>0.11330049261083741</v>
      </c>
      <c r="BE42" s="27">
        <f t="shared" si="214"/>
        <v>0.15044247787610643</v>
      </c>
      <c r="BF42" s="27">
        <f t="shared" si="214"/>
        <v>8.4615384615384537E-2</v>
      </c>
      <c r="BG42" s="27">
        <f t="shared" si="214"/>
        <v>4.9645390070921946E-2</v>
      </c>
      <c r="BH42" s="27">
        <f t="shared" si="214"/>
        <v>7.7702702702702631E-2</v>
      </c>
      <c r="BI42" s="27">
        <f t="shared" si="214"/>
        <v>5.0156739811912265E-2</v>
      </c>
      <c r="BJ42" s="27">
        <f t="shared" si="214"/>
        <v>5.6716417910447792E-2</v>
      </c>
      <c r="BK42" s="27">
        <v>5.7000000000000002E-2</v>
      </c>
      <c r="BL42" s="27">
        <v>5.7000000000000002E-2</v>
      </c>
      <c r="BM42" s="27">
        <v>5.7000000000000002E-2</v>
      </c>
      <c r="BN42" s="27">
        <v>5.7000000000000002E-2</v>
      </c>
      <c r="BO42" s="27">
        <v>5.7000000000000002E-2</v>
      </c>
      <c r="BP42" s="27">
        <v>5.7000000000000002E-2</v>
      </c>
      <c r="BQ42" s="27">
        <v>5.7000000000000002E-2</v>
      </c>
      <c r="BR42" s="27">
        <v>5.7000000000000002E-2</v>
      </c>
      <c r="BS42" s="27">
        <v>5.7000000000000002E-2</v>
      </c>
      <c r="BT42" s="27">
        <v>5.7000000000000002E-2</v>
      </c>
      <c r="BX42" s="34" t="s">
        <v>166</v>
      </c>
      <c r="BY42" s="7">
        <v>0.01</v>
      </c>
    </row>
    <row r="43" spans="2:172" s="7" customFormat="1" x14ac:dyDescent="0.25">
      <c r="B43" s="17" t="s">
        <v>69</v>
      </c>
      <c r="S43" s="7">
        <f>+S14/O14-1</f>
        <v>0.45173058621470141</v>
      </c>
      <c r="AC43" s="7">
        <f t="shared" si="213"/>
        <v>0.15449438202247201</v>
      </c>
      <c r="AD43" s="7">
        <f t="shared" si="213"/>
        <v>0.18268215417106637</v>
      </c>
      <c r="AE43" s="7">
        <f t="shared" si="213"/>
        <v>0.14107485604606529</v>
      </c>
      <c r="AF43" s="7">
        <f t="shared" si="213"/>
        <v>0.12442817932296424</v>
      </c>
      <c r="AG43" s="7">
        <f t="shared" si="213"/>
        <v>0.15571776155717765</v>
      </c>
      <c r="AH43" s="7">
        <f t="shared" si="213"/>
        <v>0.10146813827571854</v>
      </c>
      <c r="AI43" s="7">
        <f t="shared" si="213"/>
        <v>0.14836189979022274</v>
      </c>
      <c r="AJ43" s="7">
        <f t="shared" si="213"/>
        <v>0.17779831106085076</v>
      </c>
      <c r="AK43" s="7">
        <f t="shared" si="213"/>
        <v>0.17402724688817028</v>
      </c>
      <c r="AL43" s="7">
        <f t="shared" si="213"/>
        <v>0.28219264163639091</v>
      </c>
      <c r="AX43" s="27"/>
      <c r="AY43" s="27"/>
      <c r="AZ43" s="27"/>
      <c r="BA43" s="27"/>
      <c r="BB43" s="27"/>
      <c r="BC43" s="27"/>
      <c r="BD43" s="27"/>
      <c r="BE43" s="27">
        <f t="shared" ref="BE43:BJ43" si="215">+BE14/BD14-1</f>
        <v>0.14999999999999991</v>
      </c>
      <c r="BF43" s="27">
        <f t="shared" si="215"/>
        <v>0.14999999999999991</v>
      </c>
      <c r="BG43" s="27">
        <f t="shared" si="215"/>
        <v>0.14999999999999991</v>
      </c>
      <c r="BH43" s="27">
        <f t="shared" si="215"/>
        <v>0.14999999999999991</v>
      </c>
      <c r="BI43" s="27">
        <f t="shared" si="215"/>
        <v>0.14999999999999991</v>
      </c>
      <c r="BJ43" s="27">
        <f t="shared" si="215"/>
        <v>0.10255893612734224</v>
      </c>
      <c r="BK43" s="27">
        <v>0.10299999999999999</v>
      </c>
      <c r="BL43" s="27">
        <v>0.10299999999999999</v>
      </c>
      <c r="BM43" s="27">
        <v>0.10299999999999999</v>
      </c>
      <c r="BN43" s="27">
        <v>0.10299999999999999</v>
      </c>
      <c r="BO43" s="27">
        <v>0.10299999999999999</v>
      </c>
      <c r="BP43" s="27">
        <v>0.10299999999999999</v>
      </c>
      <c r="BQ43" s="27">
        <v>0.10299999999999999</v>
      </c>
      <c r="BR43" s="27">
        <v>0.10299999999999999</v>
      </c>
      <c r="BS43" s="27">
        <v>0.10299999999999999</v>
      </c>
      <c r="BT43" s="27">
        <v>0.10299999999999999</v>
      </c>
      <c r="BX43" s="34" t="s">
        <v>167</v>
      </c>
      <c r="BY43" s="7">
        <v>7.0000000000000007E-2</v>
      </c>
    </row>
    <row r="44" spans="2:172" s="7" customFormat="1" x14ac:dyDescent="0.25">
      <c r="B44" s="17" t="s">
        <v>85</v>
      </c>
      <c r="Q44" s="7">
        <f>Q26/M26-1</f>
        <v>0.33156247035385644</v>
      </c>
      <c r="R44" s="7">
        <f>R26/N26-1</f>
        <v>0.47550318543158365</v>
      </c>
      <c r="S44" s="7">
        <f>S26/O26-1</f>
        <v>0.5560014983678494</v>
      </c>
      <c r="T44" s="7">
        <f t="shared" ref="T44:U44" si="216">T26/P26-1</f>
        <v>0.35118770377270603</v>
      </c>
      <c r="U44" s="7">
        <f t="shared" si="216"/>
        <v>0.19945141065830718</v>
      </c>
      <c r="V44" s="7">
        <f>V26/R26-1</f>
        <v>6.6371174200450911E-2</v>
      </c>
      <c r="W44" s="7">
        <f>W26/S26-1</f>
        <v>-8.7698180692643568E-3</v>
      </c>
      <c r="Z44" s="7">
        <f>Z26/V26-1</f>
        <v>2.6408198366060009E-2</v>
      </c>
      <c r="AA44" s="7">
        <f>AA26/W26-1</f>
        <v>0.11022829782804799</v>
      </c>
      <c r="AC44" s="7">
        <f t="shared" ref="AC44:AL44" si="217">AC26/Y26-1</f>
        <v>0.24706979636250592</v>
      </c>
      <c r="AD44" s="7">
        <f t="shared" si="217"/>
        <v>0.27264793157619138</v>
      </c>
      <c r="AE44" s="7">
        <f t="shared" si="217"/>
        <v>0.2210069064658271</v>
      </c>
      <c r="AF44" s="7">
        <f t="shared" si="217"/>
        <v>0.18868974404029748</v>
      </c>
      <c r="AG44" s="7">
        <f t="shared" si="217"/>
        <v>0.20627243717590749</v>
      </c>
      <c r="AH44" s="7">
        <f t="shared" si="217"/>
        <v>0.16071869428062002</v>
      </c>
      <c r="AI44" s="7">
        <f t="shared" si="217"/>
        <v>0.21614496685521223</v>
      </c>
      <c r="AJ44" s="7">
        <f t="shared" si="217"/>
        <v>0.26246027248761972</v>
      </c>
      <c r="AK44" s="7">
        <f t="shared" si="217"/>
        <v>0.23781672384574049</v>
      </c>
      <c r="AL44" s="7">
        <f t="shared" si="217"/>
        <v>0.33078886420570019</v>
      </c>
      <c r="AM44" s="7">
        <f t="shared" ref="AM44" si="218">AM26/AI26-1</f>
        <v>0.25263069281926098</v>
      </c>
      <c r="AN44" s="7">
        <f t="shared" ref="AN44" si="219">AN26/AJ26-1</f>
        <v>0.22477655048592959</v>
      </c>
      <c r="AO44" s="7">
        <f t="shared" ref="AO44" si="220">AO26/AK26-1</f>
        <v>0.21616883442138479</v>
      </c>
      <c r="AX44" s="27"/>
      <c r="AY44" s="27">
        <f t="shared" ref="AY44:BA44" si="221">AY26/AX26-1</f>
        <v>0.58358739837398366</v>
      </c>
      <c r="AZ44" s="27">
        <f t="shared" si="221"/>
        <v>0.43815177282207607</v>
      </c>
      <c r="BA44" s="27">
        <f t="shared" si="221"/>
        <v>0.54161088799643009</v>
      </c>
      <c r="BB44" s="27">
        <f t="shared" ref="BB44:BI44" si="222">BB26/BA26-1</f>
        <v>0.47090961719371882</v>
      </c>
      <c r="BC44" s="27">
        <f t="shared" si="222"/>
        <v>0.37352716896661997</v>
      </c>
      <c r="BD44" s="27">
        <f t="shared" si="222"/>
        <v>0.26610910132884413</v>
      </c>
      <c r="BE44" s="27">
        <f t="shared" si="222"/>
        <v>0.21596390228722573</v>
      </c>
      <c r="BF44" s="27">
        <f t="shared" si="222"/>
        <v>0.37182574303495608</v>
      </c>
      <c r="BG44" s="27">
        <f t="shared" si="222"/>
        <v>-1.1193175554782941E-2</v>
      </c>
      <c r="BH44" s="27">
        <f t="shared" si="222"/>
        <v>0.15687468377226454</v>
      </c>
      <c r="BI44" s="27">
        <f t="shared" si="222"/>
        <v>0.21941112807816054</v>
      </c>
      <c r="BJ44" s="27">
        <f t="shared" ref="BJ44" si="223">BJ26/BI26-1</f>
        <v>0.22167038498246217</v>
      </c>
      <c r="BK44" s="27">
        <f t="shared" ref="BK44" si="224">BK26/BJ26-1</f>
        <v>0.14832460398674385</v>
      </c>
      <c r="BL44" s="27">
        <f t="shared" ref="BL44" si="225">BL26/BK26-1</f>
        <v>0.16296562022635408</v>
      </c>
      <c r="BM44" s="27">
        <f t="shared" ref="BM44" si="226">BM26/BL26-1</f>
        <v>0.1632978016914608</v>
      </c>
      <c r="BN44" s="27">
        <f t="shared" ref="BN44" si="227">BN26/BM26-1</f>
        <v>0.16359265454628935</v>
      </c>
      <c r="BO44" s="27">
        <f t="shared" ref="BO44" si="228">BO26/BN26-1</f>
        <v>0.16385423252716214</v>
      </c>
      <c r="BP44" s="27">
        <f t="shared" ref="BP44" si="229">BP26/BO26-1</f>
        <v>0.15055595805384869</v>
      </c>
      <c r="BQ44" s="27">
        <f t="shared" ref="BQ44" si="230">BQ26/BP26-1</f>
        <v>0.16587099999999988</v>
      </c>
      <c r="BR44" s="27">
        <f t="shared" ref="BR44" si="231">BR26/BQ26-1</f>
        <v>0.16587099999999988</v>
      </c>
      <c r="BS44" s="27">
        <f t="shared" ref="BS44" si="232">BS26/BR26-1</f>
        <v>0.16587099999999988</v>
      </c>
      <c r="BT44" s="27">
        <f t="shared" ref="BT44" si="233">BT26/BS26-1</f>
        <v>0.16587099999999988</v>
      </c>
      <c r="BX44" s="34" t="s">
        <v>144</v>
      </c>
      <c r="BY44" s="7">
        <v>0.02</v>
      </c>
    </row>
    <row r="45" spans="2:172" s="7" customFormat="1" x14ac:dyDescent="0.25">
      <c r="B45" s="17" t="s">
        <v>84</v>
      </c>
      <c r="N45" s="7">
        <f>N36/N35</f>
        <v>0.16362395495649207</v>
      </c>
      <c r="O45" s="7">
        <f>O36/O35</f>
        <v>0.15543956940140272</v>
      </c>
      <c r="R45" s="7">
        <f>R36/R35</f>
        <v>0.17438928975049986</v>
      </c>
      <c r="S45" s="7">
        <f>S36/S35</f>
        <v>0.16934388236234316</v>
      </c>
      <c r="V45" s="7">
        <f>V36/V35</f>
        <v>0.1619892231701841</v>
      </c>
      <c r="W45" s="7">
        <f>W36/W35</f>
        <v>0.18311751771316884</v>
      </c>
      <c r="Z45" s="7">
        <f t="shared" ref="Z45:AH45" si="234">Z36/Z35</f>
        <v>0.21869440262761736</v>
      </c>
      <c r="AA45" s="7">
        <f t="shared" si="234"/>
        <v>0.16194985472936618</v>
      </c>
      <c r="AB45" s="7">
        <f t="shared" si="234"/>
        <v>0.1738231098430813</v>
      </c>
      <c r="AC45" s="7">
        <f t="shared" si="234"/>
        <v>0.16599238457877202</v>
      </c>
      <c r="AD45" s="7">
        <f t="shared" si="234"/>
        <v>0.12789959811041388</v>
      </c>
      <c r="AE45" s="7">
        <f t="shared" si="234"/>
        <v>0.10863233152389778</v>
      </c>
      <c r="AF45" s="7">
        <f t="shared" si="234"/>
        <v>0.11973964762652901</v>
      </c>
      <c r="AG45" s="7">
        <f t="shared" si="234"/>
        <v>0.115234375</v>
      </c>
      <c r="AH45" s="7">
        <f t="shared" si="234"/>
        <v>9.4549015341094556E-2</v>
      </c>
      <c r="AI45" s="7">
        <f t="shared" ref="AI45:AJ45" si="235">AI36/AI35</f>
        <v>0.10699327943897925</v>
      </c>
      <c r="AJ45" s="7">
        <f t="shared" si="235"/>
        <v>0.13959285417532197</v>
      </c>
      <c r="AK45" s="7">
        <f t="shared" ref="AK45" si="236">AK36/AK35</f>
        <v>0.10199574031710973</v>
      </c>
      <c r="AL45" s="7">
        <v>-0.23082934902537697</v>
      </c>
      <c r="AX45" s="27">
        <f t="shared" ref="AX45" si="237">AX36/AX35</f>
        <v>0.45533769063180829</v>
      </c>
      <c r="AY45" s="27">
        <f t="shared" ref="AY45" si="238">AY36/AY35</f>
        <v>0.40122199592668023</v>
      </c>
      <c r="AZ45" s="27">
        <f t="shared" ref="AZ45:BA45" si="239">AZ36/AZ35</f>
        <v>0.4045850823377462</v>
      </c>
      <c r="BA45" s="27">
        <f t="shared" si="239"/>
        <v>0.18381530595941845</v>
      </c>
      <c r="BB45" s="27">
        <f t="shared" ref="BB45:BJ45" si="240">BB36/BB35</f>
        <v>0.22627949888316987</v>
      </c>
      <c r="BC45" s="27">
        <f t="shared" si="240"/>
        <v>0.12811009029612397</v>
      </c>
      <c r="BD45" s="27">
        <f t="shared" si="240"/>
        <v>0.25137030469127841</v>
      </c>
      <c r="BE45" s="27">
        <f t="shared" si="240"/>
        <v>0.12157926461723931</v>
      </c>
      <c r="BF45" s="27">
        <f t="shared" si="240"/>
        <v>0.16737162676592504</v>
      </c>
      <c r="BG45" s="27">
        <f t="shared" si="240"/>
        <v>0.19497553697213643</v>
      </c>
      <c r="BH45" s="27">
        <f t="shared" si="240"/>
        <v>0.17563464620055663</v>
      </c>
      <c r="BI45" s="27">
        <f t="shared" si="240"/>
        <v>0.11750137978857393</v>
      </c>
      <c r="BJ45" s="27">
        <f t="shared" si="240"/>
        <v>0.11107619978587721</v>
      </c>
      <c r="BK45" s="27">
        <v>0.13</v>
      </c>
      <c r="BL45" s="27">
        <v>0.13</v>
      </c>
      <c r="BM45" s="27">
        <v>0.13</v>
      </c>
      <c r="BN45" s="27">
        <v>0.13</v>
      </c>
      <c r="BO45" s="27">
        <v>0.13</v>
      </c>
      <c r="BP45" s="27">
        <v>0.13</v>
      </c>
      <c r="BQ45" s="27"/>
      <c r="BR45" s="27"/>
      <c r="BS45" s="27"/>
      <c r="BT45" s="27"/>
      <c r="BX45" s="34" t="s">
        <v>168</v>
      </c>
      <c r="BY45" s="6">
        <f>+NPV(BY43,BK37:FP37)+Main!J11-Main!J12</f>
        <v>4232705.0496587325</v>
      </c>
    </row>
    <row r="46" spans="2:172" s="7" customFormat="1" x14ac:dyDescent="0.25">
      <c r="B46" s="17" t="s">
        <v>82</v>
      </c>
      <c r="N46" s="7">
        <f>(N26-N27)/N26</f>
        <v>0.80498393189378137</v>
      </c>
      <c r="O46" s="7">
        <f>(O26-O27)/O26</f>
        <v>0.7950981966072671</v>
      </c>
      <c r="R46" s="7">
        <f>(R26-R27)/R26</f>
        <v>0.80394329601467274</v>
      </c>
      <c r="S46" s="7">
        <f>(S26-S27)/S26</f>
        <v>0.81432059703545756</v>
      </c>
      <c r="V46" s="7">
        <f>(V26-V27)/V26</f>
        <v>0.78482872294682526</v>
      </c>
      <c r="W46" s="7">
        <f>(W26-W27)/W26</f>
        <v>0.81985982929706469</v>
      </c>
      <c r="Z46" s="7">
        <f t="shared" ref="Z46:AH46" si="241">(Z26-Z27)/Z26</f>
        <v>0.7867690696456624</v>
      </c>
      <c r="AA46" s="7">
        <f t="shared" si="241"/>
        <v>0.81421294415450485</v>
      </c>
      <c r="AB46" s="7">
        <f t="shared" si="241"/>
        <v>0.81813389562467054</v>
      </c>
      <c r="AC46" s="7">
        <f t="shared" si="241"/>
        <v>0.8081372157957718</v>
      </c>
      <c r="AD46" s="7">
        <f t="shared" si="241"/>
        <v>0.81785763269784661</v>
      </c>
      <c r="AE46" s="7">
        <f t="shared" si="241"/>
        <v>0.81295590079598679</v>
      </c>
      <c r="AF46" s="7">
        <f t="shared" si="241"/>
        <v>0.81830052477272164</v>
      </c>
      <c r="AG46" s="7">
        <f t="shared" si="241"/>
        <v>0.81734385979415536</v>
      </c>
      <c r="AH46" s="7">
        <f t="shared" si="241"/>
        <v>0.82105213404546962</v>
      </c>
      <c r="AI46" s="7">
        <f t="shared" ref="AI46:AJ46" si="242">(AI26-AI27)/AI26</f>
        <v>0.82130229817324696</v>
      </c>
      <c r="AJ46" s="7">
        <f t="shared" si="242"/>
        <v>0.82034268763904605</v>
      </c>
      <c r="AK46" s="7">
        <f t="shared" ref="AK46" si="243">(AK26-AK27)/AK26</f>
        <v>0.8179253001185447</v>
      </c>
      <c r="AL46" s="7">
        <f t="shared" ref="AL46" si="244">(AL26-AL27)/AL26</f>
        <v>0.8185434462183232</v>
      </c>
      <c r="AX46" s="27">
        <f t="shared" ref="AX46" si="245">(AX26-AX27)/AX26</f>
        <v>0.76181402439024393</v>
      </c>
      <c r="AY46" s="27">
        <f t="shared" ref="AY46" si="246">(AY26-AY27)/AY26</f>
        <v>0.82729022942403341</v>
      </c>
      <c r="AZ46" s="27">
        <f t="shared" ref="AZ46:BA46" si="247">(AZ26-AZ27)/AZ26</f>
        <v>0.84008255243195007</v>
      </c>
      <c r="BA46" s="27">
        <f t="shared" si="247"/>
        <v>0.86290614371517471</v>
      </c>
      <c r="BB46" s="27">
        <f t="shared" ref="BB46:BK46" si="248">(BB26-BB27)/BB26</f>
        <v>0.86584015939783043</v>
      </c>
      <c r="BC46" s="27">
        <f t="shared" si="248"/>
        <v>0.8324617643898421</v>
      </c>
      <c r="BD46" s="27">
        <f t="shared" si="248"/>
        <v>0.81936998741106415</v>
      </c>
      <c r="BE46" s="27">
        <f t="shared" si="248"/>
        <v>0.80582795323678236</v>
      </c>
      <c r="BF46" s="27">
        <f t="shared" si="248"/>
        <v>0.80794376277251567</v>
      </c>
      <c r="BG46" s="27">
        <f t="shared" si="248"/>
        <v>0.78347297378418479</v>
      </c>
      <c r="BH46" s="27">
        <f t="shared" si="248"/>
        <v>0.8075714222176098</v>
      </c>
      <c r="BI46" s="27">
        <f t="shared" si="248"/>
        <v>0.81665157050717019</v>
      </c>
      <c r="BJ46" s="27">
        <f t="shared" si="248"/>
        <v>0.81999442691798607</v>
      </c>
      <c r="BK46" s="27">
        <f t="shared" si="248"/>
        <v>0.81107073687951214</v>
      </c>
      <c r="BL46" s="27">
        <v>0.82</v>
      </c>
      <c r="BM46" s="27">
        <v>0.82</v>
      </c>
      <c r="BN46" s="27">
        <v>0.82</v>
      </c>
      <c r="BO46" s="27">
        <v>0.82</v>
      </c>
      <c r="BP46" s="27">
        <v>0.82</v>
      </c>
      <c r="BQ46" s="27"/>
      <c r="BR46" s="27"/>
      <c r="BS46" s="27"/>
      <c r="BT46" s="27"/>
      <c r="BX46" s="34" t="s">
        <v>182</v>
      </c>
      <c r="BY46" s="6">
        <f>+BY45/Main!J9</f>
        <v>1667.4543772856621</v>
      </c>
    </row>
    <row r="47" spans="2:172" s="7" customFormat="1" x14ac:dyDescent="0.25">
      <c r="B47" s="17" t="s">
        <v>81</v>
      </c>
      <c r="N47" s="7">
        <f t="shared" ref="N47" si="249">+N33/N26</f>
        <v>0.33224333314540228</v>
      </c>
      <c r="O47" s="7">
        <f t="shared" ref="O47" si="250">+O33/O26</f>
        <v>0.31909883876491679</v>
      </c>
      <c r="R47" s="7">
        <f t="shared" ref="R47:S47" si="251">+R33/R26</f>
        <v>0.43475602766420846</v>
      </c>
      <c r="S47" s="7">
        <f t="shared" si="251"/>
        <v>0.42531898063761736</v>
      </c>
      <c r="V47" s="7">
        <f t="shared" ref="V47" si="252">+V33/V26</f>
        <v>0.30543213415508097</v>
      </c>
      <c r="W47" s="7">
        <f t="shared" ref="W47" si="253">+W33/W26</f>
        <v>0.28998681562695161</v>
      </c>
      <c r="Z47" s="7">
        <f t="shared" ref="Z47:AA47" si="254">+Z33/Z26</f>
        <v>0.25229533950078548</v>
      </c>
      <c r="AA47" s="7">
        <f t="shared" si="254"/>
        <v>0.29350917216163003</v>
      </c>
      <c r="AB47" s="7">
        <f>+AB33/AB26</f>
        <v>0.40262402624026239</v>
      </c>
      <c r="AC47" s="7">
        <f>+AC33/AC26</f>
        <v>0.40845632229756679</v>
      </c>
      <c r="AD47" s="7">
        <f>+AD33/AD26</f>
        <v>0.37904265532848719</v>
      </c>
      <c r="AE47" s="7">
        <f>+AE33/AE26</f>
        <v>0.38000051188861306</v>
      </c>
      <c r="AF47" s="7">
        <f>+AF33/AF26</f>
        <v>0.4274557146024785</v>
      </c>
      <c r="AG47" s="7">
        <f t="shared" ref="AG47:AH47" si="255">+AG33/AG26</f>
        <v>0.48288761211920805</v>
      </c>
      <c r="AH47" s="7">
        <f t="shared" si="255"/>
        <v>0.41487450961856598</v>
      </c>
      <c r="AI47" s="7">
        <f t="shared" ref="AI47:AJ47" si="256">+AI33/AI26</f>
        <v>0.43019193534809325</v>
      </c>
      <c r="AJ47" s="7">
        <f t="shared" si="256"/>
        <v>0.4007454822216151</v>
      </c>
      <c r="AK47" s="7">
        <f t="shared" ref="AK47:AL47" si="257">+AK33/AK26</f>
        <v>0.41315345699831368</v>
      </c>
      <c r="AL47" s="7">
        <f t="shared" si="257"/>
        <v>0.40617286143027115</v>
      </c>
      <c r="AX47" s="27">
        <f t="shared" ref="AX47" si="258">+AX33/AX26</f>
        <v>0.35619918699186992</v>
      </c>
      <c r="AY47" s="27">
        <f t="shared" ref="AY47" si="259">+AY33/AY26</f>
        <v>0.40060965827049577</v>
      </c>
      <c r="AZ47" s="27">
        <f t="shared" ref="AZ47:BA47" si="260">+AZ33/AZ26</f>
        <v>0.34722222222222221</v>
      </c>
      <c r="BA47" s="27">
        <f t="shared" si="260"/>
        <v>0.44963456111151312</v>
      </c>
      <c r="BB47" s="27">
        <f t="shared" ref="BB47:BO47" si="261">+BB33/BB26</f>
        <v>0.49696209381841439</v>
      </c>
      <c r="BC47" s="27">
        <f t="shared" si="261"/>
        <v>0.44616569361366809</v>
      </c>
      <c r="BD47" s="27">
        <f t="shared" si="261"/>
        <v>0.33927889443682191</v>
      </c>
      <c r="BE47" s="27">
        <f t="shared" si="261"/>
        <v>0.3800500203571221</v>
      </c>
      <c r="BF47" s="27">
        <f t="shared" si="261"/>
        <v>0.39645040660058173</v>
      </c>
      <c r="BG47" s="27">
        <f t="shared" si="261"/>
        <v>0.24821411726367604</v>
      </c>
      <c r="BH47" s="27">
        <f t="shared" si="261"/>
        <v>0.34655527716416362</v>
      </c>
      <c r="BI47" s="27">
        <f t="shared" si="261"/>
        <v>0.42176035404040096</v>
      </c>
      <c r="BJ47" s="27">
        <f t="shared" si="261"/>
        <v>0.41437855159579234</v>
      </c>
      <c r="BK47" s="27">
        <f t="shared" si="261"/>
        <v>0.40629720048423246</v>
      </c>
      <c r="BL47" s="27">
        <f t="shared" si="261"/>
        <v>0.43190717386619776</v>
      </c>
      <c r="BM47" s="27">
        <f t="shared" si="261"/>
        <v>0.45189463637702748</v>
      </c>
      <c r="BN47" s="27">
        <f t="shared" si="261"/>
        <v>0.47394227721112492</v>
      </c>
      <c r="BO47" s="27">
        <f t="shared" si="261"/>
        <v>0.49708295135190339</v>
      </c>
      <c r="BP47" s="27">
        <f t="shared" ref="BP47" si="262">+BP33/BP26</f>
        <v>0.5170558002945822</v>
      </c>
      <c r="BQ47" s="27"/>
      <c r="BR47" s="27"/>
      <c r="BS47" s="27"/>
      <c r="BT47" s="27"/>
      <c r="BX47" s="34" t="s">
        <v>66</v>
      </c>
      <c r="BY47" s="7">
        <f>+BY46/Main!J8-1</f>
        <v>1.8898689381034006</v>
      </c>
    </row>
    <row r="48" spans="2:172" s="7" customFormat="1" x14ac:dyDescent="0.25">
      <c r="B48" s="17" t="s">
        <v>83</v>
      </c>
      <c r="N48" s="7">
        <f>N37/N26</f>
        <v>0.27637142696059086</v>
      </c>
      <c r="O48" s="7">
        <f>O37/O26</f>
        <v>0.27709102584684542</v>
      </c>
      <c r="R48" s="7">
        <f>R37/R26</f>
        <v>0.36288257995491191</v>
      </c>
      <c r="S48" s="7">
        <f>S37/S26</f>
        <v>0.35746466279189737</v>
      </c>
      <c r="V48" s="7">
        <f>V37/V26</f>
        <v>0.26748602551239786</v>
      </c>
      <c r="W48" s="7">
        <f>W37/W26</f>
        <v>0.23201026993269031</v>
      </c>
      <c r="Z48" s="7">
        <f t="shared" ref="Z48:AH48" si="263">Z37/Z26</f>
        <v>0.19930179787048349</v>
      </c>
      <c r="AA48" s="7">
        <f t="shared" si="263"/>
        <v>0.24338260570642833</v>
      </c>
      <c r="AB48" s="7">
        <f t="shared" si="263"/>
        <v>0.33921982076963625</v>
      </c>
      <c r="AC48" s="7">
        <f t="shared" si="263"/>
        <v>0.34947147985640209</v>
      </c>
      <c r="AD48" s="7">
        <f t="shared" si="263"/>
        <v>0.33929502125908656</v>
      </c>
      <c r="AE48" s="7">
        <f t="shared" si="263"/>
        <v>0.34462900872770086</v>
      </c>
      <c r="AF48" s="7">
        <f t="shared" si="263"/>
        <v>0.38650865998176848</v>
      </c>
      <c r="AG48" s="7">
        <f t="shared" si="263"/>
        <v>0.43066176166659775</v>
      </c>
      <c r="AH48" s="7">
        <f t="shared" si="263"/>
        <v>0.39334499220116276</v>
      </c>
      <c r="AI48" s="7">
        <f t="shared" ref="AI48:AJ48" si="264">AI37/AI26</f>
        <v>0.38591211381429413</v>
      </c>
      <c r="AJ48" s="7">
        <f t="shared" si="264"/>
        <v>0.36374458452051051</v>
      </c>
      <c r="AK48" s="7">
        <f t="shared" ref="AK48:AO48" si="265">AK37/AK26</f>
        <v>0.3801445911876179</v>
      </c>
      <c r="AL48" s="7">
        <f t="shared" ref="AL48" si="266">AL37/AL26</f>
        <v>0.33220365470334395</v>
      </c>
      <c r="AM48" s="7">
        <f t="shared" si="265"/>
        <v>0.30695564516129031</v>
      </c>
      <c r="AN48" s="7">
        <f t="shared" si="265"/>
        <v>0.29238368387507968</v>
      </c>
      <c r="AO48" s="7">
        <f t="shared" si="265"/>
        <v>0.30573860516199891</v>
      </c>
      <c r="AX48" s="27">
        <f t="shared" ref="AX48" si="267">AX37/AX26</f>
        <v>0.19054878048780488</v>
      </c>
      <c r="AY48" s="27">
        <f t="shared" ref="AY48" si="268">AY37/AY26</f>
        <v>0.2358414888496711</v>
      </c>
      <c r="AZ48" s="27">
        <f t="shared" ref="AZ48:BA48" si="269">AZ37/AZ26</f>
        <v>0.20571173583221777</v>
      </c>
      <c r="BA48" s="27">
        <f t="shared" si="269"/>
        <v>0.36967219046240685</v>
      </c>
      <c r="BB48" s="27">
        <f t="shared" ref="BB48:BP48" si="270">BB37/BB26</f>
        <v>0.39195139350109465</v>
      </c>
      <c r="BC48" s="27">
        <f t="shared" si="270"/>
        <v>0.39600272216053584</v>
      </c>
      <c r="BD48" s="27">
        <f t="shared" si="270"/>
        <v>0.26274099325289618</v>
      </c>
      <c r="BE48" s="27">
        <f t="shared" si="270"/>
        <v>0.3390449601582039</v>
      </c>
      <c r="BF48" s="27">
        <f t="shared" si="270"/>
        <v>0.33384494059985248</v>
      </c>
      <c r="BG48" s="27">
        <f t="shared" si="270"/>
        <v>0.19895548371051977</v>
      </c>
      <c r="BH48" s="27">
        <f t="shared" si="270"/>
        <v>0.28982520644616094</v>
      </c>
      <c r="BI48" s="27">
        <f t="shared" si="270"/>
        <v>0.37908584142345642</v>
      </c>
      <c r="BJ48" s="27">
        <f t="shared" si="270"/>
        <v>0.3800991212443896</v>
      </c>
      <c r="BK48" s="27">
        <f t="shared" si="270"/>
        <v>0.35963046868723558</v>
      </c>
      <c r="BL48" s="27">
        <f t="shared" si="270"/>
        <v>0.38642978405977202</v>
      </c>
      <c r="BM48" s="27">
        <f t="shared" si="270"/>
        <v>0.40810101473580424</v>
      </c>
      <c r="BN48" s="27">
        <f t="shared" si="270"/>
        <v>0.43128283889368685</v>
      </c>
      <c r="BO48" s="27">
        <f t="shared" si="270"/>
        <v>0.45519472161404001</v>
      </c>
      <c r="BP48" s="27">
        <f t="shared" si="270"/>
        <v>0.47648039872717146</v>
      </c>
      <c r="BQ48" s="27">
        <v>0.38</v>
      </c>
      <c r="BR48" s="27">
        <v>0.38</v>
      </c>
      <c r="BS48" s="27">
        <v>0.38</v>
      </c>
      <c r="BT48" s="27">
        <v>0.38</v>
      </c>
    </row>
    <row r="49" spans="1:99" s="6" customFormat="1" x14ac:dyDescent="0.25">
      <c r="B49" s="14"/>
    </row>
    <row r="50" spans="1:99" s="6" customFormat="1" x14ac:dyDescent="0.25">
      <c r="B50" s="14"/>
    </row>
    <row r="51" spans="1:99" s="6" customFormat="1" x14ac:dyDescent="0.25">
      <c r="B51" s="30" t="s">
        <v>171</v>
      </c>
      <c r="Z51" s="6">
        <f t="shared" ref="Z51:AL51" si="271">+SUM(Z54:Z60)</f>
        <v>11427</v>
      </c>
      <c r="AA51" s="6">
        <f t="shared" si="271"/>
        <v>13777</v>
      </c>
      <c r="AB51" s="6">
        <f t="shared" si="271"/>
        <v>21397</v>
      </c>
      <c r="AC51" s="6">
        <f t="shared" si="271"/>
        <v>20676</v>
      </c>
      <c r="AD51" s="6">
        <f t="shared" si="271"/>
        <v>19023</v>
      </c>
      <c r="AE51" s="6">
        <f t="shared" si="271"/>
        <v>20111</v>
      </c>
      <c r="AF51" s="6">
        <f t="shared" si="271"/>
        <v>22654</v>
      </c>
      <c r="AG51" s="6">
        <f t="shared" si="271"/>
        <v>28492</v>
      </c>
      <c r="AH51" s="6">
        <f t="shared" si="271"/>
        <v>23467</v>
      </c>
      <c r="AI51" s="6">
        <f t="shared" si="271"/>
        <v>26518</v>
      </c>
      <c r="AJ51" s="6">
        <f t="shared" si="271"/>
        <v>32150</v>
      </c>
      <c r="AK51" s="6">
        <f t="shared" si="271"/>
        <v>34550</v>
      </c>
      <c r="AL51" s="6">
        <f t="shared" si="271"/>
        <v>39985</v>
      </c>
      <c r="AX51" s="6">
        <f t="shared" ref="AX51:BI51" si="272">+SUM(AX54:AX60)</f>
        <v>3546</v>
      </c>
      <c r="AY51" s="6">
        <f t="shared" si="272"/>
        <v>5719</v>
      </c>
      <c r="AZ51" s="6">
        <f t="shared" si="272"/>
        <v>9536</v>
      </c>
      <c r="BA51" s="6">
        <f t="shared" si="272"/>
        <v>15350</v>
      </c>
      <c r="BB51" s="6">
        <f t="shared" si="272"/>
        <v>22329</v>
      </c>
      <c r="BC51" s="6">
        <f t="shared" si="272"/>
        <v>30801</v>
      </c>
      <c r="BD51" s="6">
        <f t="shared" si="272"/>
        <v>29154</v>
      </c>
      <c r="BE51" s="6">
        <f t="shared" si="272"/>
        <v>41470</v>
      </c>
      <c r="BF51" s="6">
        <f t="shared" si="272"/>
        <v>56983</v>
      </c>
      <c r="BG51" s="6">
        <f t="shared" si="272"/>
        <v>44792</v>
      </c>
      <c r="BH51" s="6">
        <f t="shared" si="272"/>
        <v>67277</v>
      </c>
      <c r="BI51" s="6">
        <f t="shared" si="272"/>
        <v>90280</v>
      </c>
      <c r="BJ51" s="6">
        <f>+SUM(BJ54:BJ60)</f>
        <v>116685</v>
      </c>
    </row>
    <row r="52" spans="1:99" s="6" customFormat="1" x14ac:dyDescent="0.25">
      <c r="B52" s="14"/>
    </row>
    <row r="53" spans="1:99" s="6" customFormat="1" x14ac:dyDescent="0.25"/>
    <row r="54" spans="1:99" x14ac:dyDescent="0.25">
      <c r="B54" s="7" t="s">
        <v>20</v>
      </c>
      <c r="C54" s="6"/>
      <c r="D54" s="6"/>
      <c r="E54" s="6"/>
      <c r="F54" s="6"/>
      <c r="G54" s="6"/>
      <c r="H54" s="6"/>
      <c r="I54" s="6"/>
      <c r="J54" s="6"/>
      <c r="K54" s="6"/>
      <c r="L54" s="6"/>
      <c r="M54" s="6"/>
      <c r="N54" s="6">
        <f>N37</f>
        <v>4902</v>
      </c>
      <c r="O54" s="6">
        <f>O37</f>
        <v>5178</v>
      </c>
      <c r="P54" s="6"/>
      <c r="Q54" s="6"/>
      <c r="R54" s="6">
        <f>R37</f>
        <v>9497</v>
      </c>
      <c r="S54" s="6">
        <f>S37</f>
        <v>10394</v>
      </c>
      <c r="T54" s="6"/>
      <c r="U54" s="6"/>
      <c r="V54" s="6">
        <f>V37</f>
        <v>7465</v>
      </c>
      <c r="W54" s="6">
        <f>W37</f>
        <v>6687</v>
      </c>
      <c r="X54" s="6"/>
      <c r="Y54" s="6"/>
      <c r="Z54" s="6">
        <f t="shared" ref="Z54:AK54" si="273">Z37</f>
        <v>5709</v>
      </c>
      <c r="AA54" s="6">
        <f t="shared" si="273"/>
        <v>7788</v>
      </c>
      <c r="AB54" s="6">
        <f t="shared" si="273"/>
        <v>11583</v>
      </c>
      <c r="AC54" s="6">
        <f t="shared" si="273"/>
        <v>14018</v>
      </c>
      <c r="AD54" s="6">
        <f t="shared" si="273"/>
        <v>12369</v>
      </c>
      <c r="AE54" s="6">
        <f t="shared" si="273"/>
        <v>13465</v>
      </c>
      <c r="AF54" s="6">
        <f t="shared" si="273"/>
        <v>15688</v>
      </c>
      <c r="AG54" s="6">
        <f t="shared" si="273"/>
        <v>20838</v>
      </c>
      <c r="AH54" s="6">
        <f t="shared" si="273"/>
        <v>16644</v>
      </c>
      <c r="AI54" s="6">
        <f t="shared" si="273"/>
        <v>18337</v>
      </c>
      <c r="AJ54" s="6">
        <v>2709</v>
      </c>
      <c r="AK54" s="6">
        <f t="shared" si="273"/>
        <v>22768</v>
      </c>
      <c r="AL54" s="6">
        <v>26773</v>
      </c>
      <c r="AM54" s="6"/>
      <c r="AN54" s="6"/>
      <c r="AO54" s="6"/>
      <c r="AP54" s="6"/>
      <c r="AQ54" s="6"/>
      <c r="AR54" s="6"/>
      <c r="AS54" s="6"/>
      <c r="AT54" s="6"/>
      <c r="AU54" s="6"/>
      <c r="AV54" s="6"/>
      <c r="AW54" s="6"/>
      <c r="AX54" s="6">
        <f t="shared" ref="AX54:BI54" si="274">AX37</f>
        <v>1500</v>
      </c>
      <c r="AY54" s="6">
        <f t="shared" si="274"/>
        <v>2940</v>
      </c>
      <c r="AZ54" s="6">
        <f t="shared" si="274"/>
        <v>3688</v>
      </c>
      <c r="BA54" s="6">
        <f t="shared" si="274"/>
        <v>10217</v>
      </c>
      <c r="BB54" s="6">
        <f t="shared" si="274"/>
        <v>15934</v>
      </c>
      <c r="BC54" s="6">
        <f t="shared" si="274"/>
        <v>22112</v>
      </c>
      <c r="BD54" s="6">
        <f t="shared" si="274"/>
        <v>18575</v>
      </c>
      <c r="BE54" s="6">
        <f t="shared" si="274"/>
        <v>29146</v>
      </c>
      <c r="BF54" s="6">
        <f t="shared" si="274"/>
        <v>39370</v>
      </c>
      <c r="BG54" s="6">
        <f t="shared" si="274"/>
        <v>23200</v>
      </c>
      <c r="BH54" s="6">
        <f t="shared" si="274"/>
        <v>39098</v>
      </c>
      <c r="BI54" s="6">
        <f t="shared" si="274"/>
        <v>62360</v>
      </c>
      <c r="BJ54" s="6">
        <v>60458</v>
      </c>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row>
    <row r="55" spans="1:99" x14ac:dyDescent="0.25">
      <c r="A55" s="1"/>
      <c r="B55" s="10" t="s">
        <v>36</v>
      </c>
      <c r="C55" s="6"/>
      <c r="D55" s="6"/>
      <c r="E55" s="6"/>
      <c r="F55" s="6"/>
      <c r="G55" s="6"/>
      <c r="H55" s="6"/>
      <c r="I55" s="6"/>
      <c r="J55" s="6"/>
      <c r="K55" s="6"/>
      <c r="L55" s="6"/>
      <c r="M55" s="6"/>
      <c r="N55" s="6">
        <v>1597</v>
      </c>
      <c r="O55" s="6">
        <v>1704</v>
      </c>
      <c r="P55" s="6"/>
      <c r="Q55" s="6"/>
      <c r="R55" s="6">
        <v>1972</v>
      </c>
      <c r="S55" s="6">
        <v>1986</v>
      </c>
      <c r="T55" s="6"/>
      <c r="U55" s="6"/>
      <c r="V55" s="6">
        <v>2156</v>
      </c>
      <c r="W55" s="6">
        <v>1979</v>
      </c>
      <c r="X55" s="6"/>
      <c r="Y55" s="6"/>
      <c r="Z55" s="6">
        <v>2524</v>
      </c>
      <c r="AA55" s="6">
        <v>2623</v>
      </c>
      <c r="AB55" s="6">
        <v>2859</v>
      </c>
      <c r="AC55" s="6">
        <f>+SUM(BH55)-SUM(Z55:AB55)</f>
        <v>3172</v>
      </c>
      <c r="AD55" s="6">
        <v>3374</v>
      </c>
      <c r="AE55" s="6">
        <v>3637</v>
      </c>
      <c r="AF55" s="6">
        <v>4027</v>
      </c>
      <c r="AG55" s="6">
        <f>+SUM(BI55)-SUM(AD55:AF55)</f>
        <v>4460</v>
      </c>
      <c r="AH55" s="6">
        <v>3900</v>
      </c>
      <c r="AI55" s="6">
        <v>4342</v>
      </c>
      <c r="AJ55" s="6">
        <v>4963</v>
      </c>
      <c r="AK55" s="6">
        <v>5411</v>
      </c>
      <c r="AL55" s="6">
        <v>5999</v>
      </c>
      <c r="AM55" s="6"/>
      <c r="AN55" s="6"/>
      <c r="AO55" s="6"/>
      <c r="AP55" s="6"/>
      <c r="AQ55" s="6"/>
      <c r="AR55" s="6"/>
      <c r="AS55" s="6"/>
      <c r="AT55" s="6"/>
      <c r="AU55" s="6"/>
      <c r="AV55" s="6"/>
      <c r="AW55" s="6"/>
      <c r="AX55" s="6">
        <v>1011</v>
      </c>
      <c r="AY55" s="6">
        <v>1243</v>
      </c>
      <c r="AZ55" s="6">
        <v>1945</v>
      </c>
      <c r="BA55" s="6">
        <v>2342</v>
      </c>
      <c r="BB55" s="6">
        <v>3025</v>
      </c>
      <c r="BC55" s="6">
        <v>4315</v>
      </c>
      <c r="BD55" s="6">
        <v>5741</v>
      </c>
      <c r="BE55" s="6">
        <v>6862</v>
      </c>
      <c r="BF55" s="6">
        <v>7967</v>
      </c>
      <c r="BG55" s="6">
        <v>8686</v>
      </c>
      <c r="BH55" s="6">
        <v>11178</v>
      </c>
      <c r="BI55" s="6">
        <v>15498</v>
      </c>
      <c r="BJ55" s="6">
        <v>18616</v>
      </c>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row>
    <row r="56" spans="1:99" x14ac:dyDescent="0.25">
      <c r="B56" s="10" t="s">
        <v>37</v>
      </c>
      <c r="C56" s="6"/>
      <c r="D56" s="6"/>
      <c r="E56" s="6"/>
      <c r="F56" s="6"/>
      <c r="G56" s="6"/>
      <c r="H56" s="6"/>
      <c r="I56" s="6"/>
      <c r="J56" s="6"/>
      <c r="K56" s="6"/>
      <c r="L56" s="6"/>
      <c r="M56" s="6"/>
      <c r="N56" s="6">
        <v>1335</v>
      </c>
      <c r="O56" s="6">
        <v>1695</v>
      </c>
      <c r="P56" s="6"/>
      <c r="Q56" s="6"/>
      <c r="R56" s="6">
        <v>1830</v>
      </c>
      <c r="S56" s="6">
        <v>2549</v>
      </c>
      <c r="T56" s="6"/>
      <c r="U56" s="6"/>
      <c r="V56" s="6">
        <v>2498</v>
      </c>
      <c r="W56" s="6">
        <v>3352</v>
      </c>
      <c r="X56" s="6"/>
      <c r="Y56" s="6"/>
      <c r="Z56" s="6">
        <v>3051</v>
      </c>
      <c r="AA56" s="6">
        <v>4060</v>
      </c>
      <c r="AB56" s="6">
        <v>3492</v>
      </c>
      <c r="AC56" s="6">
        <f t="shared" ref="AC56:AC68" si="275">+SUM(BH56)-SUM(Z56:AB56)</f>
        <v>3424</v>
      </c>
      <c r="AD56" s="6">
        <v>3562</v>
      </c>
      <c r="AE56" s="6">
        <v>4616</v>
      </c>
      <c r="AF56" s="6">
        <v>4250</v>
      </c>
      <c r="AG56" s="6">
        <f t="shared" ref="AG56:AG68" si="276">+SUM(BI56)-SUM(AD56:AF56)</f>
        <v>4262</v>
      </c>
      <c r="AH56" s="6">
        <v>4147</v>
      </c>
      <c r="AI56" s="6">
        <v>4834</v>
      </c>
      <c r="AJ56" s="6">
        <v>5556</v>
      </c>
      <c r="AK56" s="6">
        <v>5890</v>
      </c>
      <c r="AL56" s="6">
        <v>6032</v>
      </c>
      <c r="AM56" s="6"/>
      <c r="AN56" s="6"/>
      <c r="AO56" s="6"/>
      <c r="AP56" s="6"/>
      <c r="AQ56" s="6"/>
      <c r="AR56" s="6"/>
      <c r="AS56" s="6"/>
      <c r="AT56" s="6"/>
      <c r="AU56" s="6"/>
      <c r="AV56" s="6"/>
      <c r="AW56" s="6"/>
      <c r="AX56" s="6">
        <v>906</v>
      </c>
      <c r="AY56" s="6">
        <v>1786</v>
      </c>
      <c r="AZ56" s="6">
        <v>2960</v>
      </c>
      <c r="BA56" s="6">
        <v>3218</v>
      </c>
      <c r="BB56" s="6">
        <v>3723</v>
      </c>
      <c r="BC56" s="6">
        <v>4152</v>
      </c>
      <c r="BD56" s="6">
        <v>4836</v>
      </c>
      <c r="BE56" s="6">
        <v>6536</v>
      </c>
      <c r="BF56" s="6">
        <v>9164</v>
      </c>
      <c r="BG56" s="6">
        <v>11992</v>
      </c>
      <c r="BH56" s="6">
        <v>14027</v>
      </c>
      <c r="BI56" s="6">
        <v>16690</v>
      </c>
      <c r="BJ56" s="6">
        <v>20427</v>
      </c>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row>
    <row r="57" spans="1:99" x14ac:dyDescent="0.25">
      <c r="B57" s="10" t="s">
        <v>38</v>
      </c>
      <c r="C57" s="6"/>
      <c r="D57" s="6"/>
      <c r="E57" s="6"/>
      <c r="F57" s="6"/>
      <c r="G57" s="6"/>
      <c r="H57" s="6"/>
      <c r="I57" s="6"/>
      <c r="J57" s="6"/>
      <c r="K57" s="6"/>
      <c r="L57" s="6"/>
      <c r="M57" s="6"/>
      <c r="N57" s="6">
        <v>477</v>
      </c>
      <c r="O57" s="6">
        <v>213</v>
      </c>
      <c r="P57" s="6"/>
      <c r="Q57" s="6"/>
      <c r="R57" s="6">
        <v>418</v>
      </c>
      <c r="S57" s="6">
        <v>229</v>
      </c>
      <c r="T57" s="6"/>
      <c r="U57" s="6"/>
      <c r="V57" s="6">
        <v>-563</v>
      </c>
      <c r="W57" s="6">
        <v>-453</v>
      </c>
      <c r="X57" s="6"/>
      <c r="Y57" s="6"/>
      <c r="Z57" s="6">
        <v>-620</v>
      </c>
      <c r="AA57" s="6">
        <v>-1137</v>
      </c>
      <c r="AB57" s="6">
        <v>3049</v>
      </c>
      <c r="AC57" s="6">
        <f t="shared" si="275"/>
        <v>-1161</v>
      </c>
      <c r="AD57" s="6">
        <v>-456</v>
      </c>
      <c r="AE57" s="6">
        <v>-1642</v>
      </c>
      <c r="AF57" s="6">
        <v>-1308</v>
      </c>
      <c r="AG57" s="6">
        <f t="shared" si="276"/>
        <v>-1332</v>
      </c>
      <c r="AH57" s="6">
        <v>-993</v>
      </c>
      <c r="AI57" s="6">
        <v>-1170</v>
      </c>
      <c r="AJ57" s="6">
        <v>19867</v>
      </c>
      <c r="AK57" s="6">
        <v>1033</v>
      </c>
      <c r="AL57" s="6">
        <v>123</v>
      </c>
      <c r="AM57" s="6"/>
      <c r="AN57" s="6"/>
      <c r="AO57" s="6"/>
      <c r="AP57" s="6"/>
      <c r="AQ57" s="6"/>
      <c r="AR57" s="6"/>
      <c r="AS57" s="6"/>
      <c r="AT57" s="6"/>
      <c r="AU57" s="6"/>
      <c r="AV57" s="6"/>
      <c r="AW57" s="6"/>
      <c r="AX57" s="6">
        <v>-37</v>
      </c>
      <c r="AY57" s="6">
        <v>-210</v>
      </c>
      <c r="AZ57" s="6">
        <v>-795</v>
      </c>
      <c r="BA57" s="6">
        <v>-457</v>
      </c>
      <c r="BB57" s="6">
        <v>-377</v>
      </c>
      <c r="BC57" s="6">
        <v>286</v>
      </c>
      <c r="BD57" s="6">
        <v>-37</v>
      </c>
      <c r="BE57" s="6">
        <v>-1192</v>
      </c>
      <c r="BF57" s="6">
        <v>609</v>
      </c>
      <c r="BG57" s="6">
        <v>-3286</v>
      </c>
      <c r="BH57" s="6">
        <v>131</v>
      </c>
      <c r="BI57" s="6">
        <v>-4738</v>
      </c>
      <c r="BJ57" s="6">
        <v>18738</v>
      </c>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row>
    <row r="58" spans="1:99" x14ac:dyDescent="0.25">
      <c r="B58" s="10" t="s">
        <v>39</v>
      </c>
      <c r="C58" s="14"/>
      <c r="D58" s="14"/>
      <c r="E58" s="14"/>
      <c r="F58" s="14"/>
      <c r="G58" s="14"/>
      <c r="H58" s="14"/>
      <c r="I58" s="14"/>
      <c r="J58" s="14"/>
      <c r="K58" s="14"/>
      <c r="L58" s="14"/>
      <c r="M58" s="14"/>
      <c r="N58" s="14" t="s">
        <v>23</v>
      </c>
      <c r="O58" s="6">
        <v>0</v>
      </c>
      <c r="P58" s="6"/>
      <c r="Q58" s="6"/>
      <c r="R58" s="14" t="s">
        <v>23</v>
      </c>
      <c r="S58" s="6">
        <v>0</v>
      </c>
      <c r="T58" s="14"/>
      <c r="U58" s="6"/>
      <c r="V58" s="6" t="s">
        <v>23</v>
      </c>
      <c r="W58" s="6" t="s">
        <v>23</v>
      </c>
      <c r="X58" s="6"/>
      <c r="Y58" s="6"/>
      <c r="Z58" s="6">
        <v>770</v>
      </c>
      <c r="AA58" s="6">
        <v>232</v>
      </c>
      <c r="AB58" s="6">
        <v>340</v>
      </c>
      <c r="AC58" s="6">
        <f t="shared" si="275"/>
        <v>1090</v>
      </c>
      <c r="AD58" s="6">
        <v>240</v>
      </c>
      <c r="AE58" s="6">
        <v>40</v>
      </c>
      <c r="AF58" s="6">
        <v>8</v>
      </c>
      <c r="AG58" s="6">
        <f t="shared" si="276"/>
        <v>95</v>
      </c>
      <c r="AH58" s="14" t="s">
        <v>23</v>
      </c>
      <c r="AI58" s="24" t="s">
        <v>23</v>
      </c>
      <c r="AJ58" s="6">
        <v>0</v>
      </c>
      <c r="AK58" s="24">
        <v>0</v>
      </c>
      <c r="AL58" s="6">
        <v>0</v>
      </c>
      <c r="AM58" s="6"/>
      <c r="AN58" s="6"/>
      <c r="AO58" s="6"/>
      <c r="AP58" s="6"/>
      <c r="AQ58" s="6"/>
      <c r="AR58" s="6"/>
      <c r="AS58" s="6"/>
      <c r="AT58" s="6"/>
      <c r="AU58" s="6"/>
      <c r="AV58" s="6"/>
      <c r="AW58" s="6"/>
      <c r="AX58" s="30" t="s">
        <v>23</v>
      </c>
      <c r="AY58" s="30" t="s">
        <v>23</v>
      </c>
      <c r="AZ58" s="30" t="s">
        <v>23</v>
      </c>
      <c r="BA58" s="30" t="s">
        <v>23</v>
      </c>
      <c r="BB58" s="30" t="s">
        <v>23</v>
      </c>
      <c r="BC58" s="6">
        <v>0</v>
      </c>
      <c r="BD58" s="6">
        <v>0</v>
      </c>
      <c r="BE58" s="6">
        <v>0</v>
      </c>
      <c r="BF58" s="6" t="s">
        <v>23</v>
      </c>
      <c r="BG58" s="6">
        <v>2218</v>
      </c>
      <c r="BH58" s="6">
        <v>2432</v>
      </c>
      <c r="BI58" s="6">
        <v>383</v>
      </c>
      <c r="BJ58" s="6">
        <v>-1138</v>
      </c>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row>
    <row r="59" spans="1:99" x14ac:dyDescent="0.25">
      <c r="B59" s="10" t="s">
        <v>40</v>
      </c>
      <c r="C59" s="6"/>
      <c r="D59" s="6"/>
      <c r="E59" s="6"/>
      <c r="F59" s="6"/>
      <c r="G59" s="6"/>
      <c r="H59" s="6"/>
      <c r="I59" s="6"/>
      <c r="J59" s="6"/>
      <c r="K59" s="6"/>
      <c r="L59" s="6"/>
      <c r="M59" s="6"/>
      <c r="N59" s="6" t="s">
        <v>23</v>
      </c>
      <c r="O59" s="6">
        <v>0</v>
      </c>
      <c r="P59" s="6"/>
      <c r="Q59" s="6"/>
      <c r="R59" s="6" t="s">
        <v>23</v>
      </c>
      <c r="S59" s="6">
        <v>0</v>
      </c>
      <c r="T59" s="14"/>
      <c r="U59" s="6"/>
      <c r="V59" s="6" t="s">
        <v>23</v>
      </c>
      <c r="W59" s="6" t="s">
        <v>23</v>
      </c>
      <c r="X59" s="6"/>
      <c r="Y59" s="6"/>
      <c r="Z59" s="6" t="s">
        <v>23</v>
      </c>
      <c r="AA59" s="6" t="s">
        <v>23</v>
      </c>
      <c r="AB59" s="6">
        <v>0</v>
      </c>
      <c r="AC59" s="6">
        <f t="shared" si="275"/>
        <v>-224</v>
      </c>
      <c r="AD59" s="6" t="s">
        <v>23</v>
      </c>
      <c r="AE59" s="6">
        <v>0</v>
      </c>
      <c r="AF59" s="6">
        <v>0</v>
      </c>
      <c r="AG59" s="6">
        <f t="shared" si="276"/>
        <v>0</v>
      </c>
      <c r="AH59" s="14" t="s">
        <v>23</v>
      </c>
      <c r="AI59" s="6">
        <v>511</v>
      </c>
      <c r="AJ59" s="6">
        <v>-511</v>
      </c>
      <c r="AK59" s="24">
        <v>0</v>
      </c>
      <c r="AL59" s="6">
        <v>0</v>
      </c>
      <c r="AM59" s="6"/>
      <c r="AN59" s="6"/>
      <c r="AO59" s="6"/>
      <c r="AP59" s="6"/>
      <c r="AQ59" s="6"/>
      <c r="AR59" s="6"/>
      <c r="AS59" s="6"/>
      <c r="AT59" s="6"/>
      <c r="AU59" s="6"/>
      <c r="AV59" s="6"/>
      <c r="AW59" s="6"/>
      <c r="AX59" s="30" t="s">
        <v>23</v>
      </c>
      <c r="AY59" s="30" t="s">
        <v>23</v>
      </c>
      <c r="AZ59" s="30" t="s">
        <v>23</v>
      </c>
      <c r="BA59" s="30" t="s">
        <v>23</v>
      </c>
      <c r="BB59" s="30" t="s">
        <v>23</v>
      </c>
      <c r="BC59" s="6">
        <v>0</v>
      </c>
      <c r="BD59" s="6">
        <v>0</v>
      </c>
      <c r="BE59" s="6">
        <v>0</v>
      </c>
      <c r="BF59" s="6" t="s">
        <v>23</v>
      </c>
      <c r="BG59" s="6">
        <v>1341</v>
      </c>
      <c r="BH59" s="6">
        <v>-224</v>
      </c>
      <c r="BI59" s="11" t="s">
        <v>23</v>
      </c>
      <c r="BJ59" s="30" t="s">
        <v>23</v>
      </c>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row>
    <row r="60" spans="1:99" x14ac:dyDescent="0.25">
      <c r="B60" s="7" t="s">
        <v>21</v>
      </c>
      <c r="C60" s="6"/>
      <c r="D60" s="6"/>
      <c r="E60" s="6"/>
      <c r="F60" s="6"/>
      <c r="G60" s="6"/>
      <c r="H60" s="6"/>
      <c r="I60" s="6"/>
      <c r="J60" s="6"/>
      <c r="K60" s="6"/>
      <c r="L60" s="6"/>
      <c r="M60" s="6"/>
      <c r="N60" s="6">
        <v>6</v>
      </c>
      <c r="O60" s="6">
        <v>43</v>
      </c>
      <c r="P60" s="6"/>
      <c r="Q60" s="6"/>
      <c r="R60" s="6">
        <v>-66</v>
      </c>
      <c r="S60" s="6">
        <v>-22</v>
      </c>
      <c r="T60" s="6"/>
      <c r="U60" s="6"/>
      <c r="V60" s="6">
        <v>-221</v>
      </c>
      <c r="W60" s="6">
        <v>188</v>
      </c>
      <c r="X60" s="6"/>
      <c r="Y60" s="6"/>
      <c r="Z60" s="6">
        <v>-7</v>
      </c>
      <c r="AA60" s="6">
        <v>211</v>
      </c>
      <c r="AB60" s="6">
        <v>74</v>
      </c>
      <c r="AC60" s="6">
        <f t="shared" si="275"/>
        <v>357</v>
      </c>
      <c r="AD60" s="6">
        <v>-66</v>
      </c>
      <c r="AE60" s="6">
        <v>-5</v>
      </c>
      <c r="AF60" s="6">
        <v>-11</v>
      </c>
      <c r="AG60" s="6">
        <f t="shared" si="276"/>
        <v>169</v>
      </c>
      <c r="AH60" s="6">
        <v>-231</v>
      </c>
      <c r="AI60" s="6">
        <v>-336</v>
      </c>
      <c r="AJ60" s="6">
        <v>-434</v>
      </c>
      <c r="AK60" s="6">
        <f>-56-496</f>
        <v>-552</v>
      </c>
      <c r="AL60" s="6">
        <f>-17+1075</f>
        <v>1058</v>
      </c>
      <c r="AM60" s="6"/>
      <c r="AN60" s="6"/>
      <c r="AO60" s="6"/>
      <c r="AP60" s="6"/>
      <c r="AQ60" s="6"/>
      <c r="AR60" s="6"/>
      <c r="AS60" s="6"/>
      <c r="AT60" s="6"/>
      <c r="AU60" s="6"/>
      <c r="AV60" s="6"/>
      <c r="AW60" s="6"/>
      <c r="AX60" s="6">
        <f>56+117+602-609</f>
        <v>166</v>
      </c>
      <c r="AY60" s="6">
        <f>7-31+1853-1869</f>
        <v>-40</v>
      </c>
      <c r="AZ60" s="6">
        <f>17+1721</f>
        <v>1738</v>
      </c>
      <c r="BA60" s="6">
        <v>30</v>
      </c>
      <c r="BB60" s="6">
        <v>24</v>
      </c>
      <c r="BC60" s="6">
        <v>-64</v>
      </c>
      <c r="BD60" s="6">
        <v>39</v>
      </c>
      <c r="BE60" s="6">
        <v>118</v>
      </c>
      <c r="BF60" s="6">
        <v>-127</v>
      </c>
      <c r="BG60" s="6">
        <v>641</v>
      </c>
      <c r="BH60" s="6">
        <v>635</v>
      </c>
      <c r="BI60" s="6">
        <v>87</v>
      </c>
      <c r="BJ60" s="6">
        <v>-416</v>
      </c>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row>
    <row r="61" spans="1:99" x14ac:dyDescent="0.25">
      <c r="A61" s="1"/>
      <c r="B61" s="17" t="s">
        <v>97</v>
      </c>
      <c r="C61" s="6"/>
      <c r="D61" s="6"/>
      <c r="E61" s="6"/>
      <c r="F61" s="6"/>
      <c r="G61" s="6"/>
      <c r="H61" s="6"/>
      <c r="I61" s="6"/>
      <c r="J61" s="6"/>
      <c r="K61" s="6"/>
      <c r="L61" s="6"/>
      <c r="M61" s="6"/>
      <c r="N61" s="6">
        <v>2046</v>
      </c>
      <c r="O61" s="6">
        <v>-122</v>
      </c>
      <c r="P61" s="6"/>
      <c r="Q61" s="6"/>
      <c r="R61" s="6">
        <v>849</v>
      </c>
      <c r="S61" s="6">
        <v>-1366</v>
      </c>
      <c r="T61" s="6"/>
      <c r="U61" s="6"/>
      <c r="V61" s="6">
        <v>2557</v>
      </c>
      <c r="W61" s="6">
        <v>-522</v>
      </c>
      <c r="X61" s="6"/>
      <c r="Y61" s="6"/>
      <c r="Z61" s="6">
        <v>2546</v>
      </c>
      <c r="AA61" s="6">
        <v>-1424</v>
      </c>
      <c r="AB61" s="6">
        <v>-678</v>
      </c>
      <c r="AC61" s="6">
        <f t="shared" si="275"/>
        <v>-2843</v>
      </c>
      <c r="AD61" s="6">
        <v>2520</v>
      </c>
      <c r="AE61" s="6">
        <v>-1170</v>
      </c>
      <c r="AF61" s="6">
        <v>143</v>
      </c>
      <c r="AG61" s="6">
        <f t="shared" si="276"/>
        <v>-2978</v>
      </c>
      <c r="AH61" s="6">
        <v>2804</v>
      </c>
      <c r="AI61" s="6">
        <v>-1338</v>
      </c>
      <c r="AJ61" s="6">
        <v>-806</v>
      </c>
      <c r="AK61" s="6">
        <v>-2475</v>
      </c>
      <c r="AL61" s="6">
        <v>2128</v>
      </c>
      <c r="AM61" s="6"/>
      <c r="AN61" s="6"/>
      <c r="AO61" s="6"/>
      <c r="AP61" s="6"/>
      <c r="AQ61" s="6"/>
      <c r="AR61" s="6"/>
      <c r="AS61" s="6"/>
      <c r="AT61" s="6"/>
      <c r="AU61" s="6"/>
      <c r="AV61" s="6"/>
      <c r="AW61" s="6"/>
      <c r="AX61" s="6">
        <v>-378</v>
      </c>
      <c r="AY61" s="6">
        <v>-610</v>
      </c>
      <c r="AZ61" s="6">
        <v>-973</v>
      </c>
      <c r="BA61" s="6">
        <v>-1489</v>
      </c>
      <c r="BB61" s="6">
        <v>-1609</v>
      </c>
      <c r="BC61" s="6">
        <v>-1892</v>
      </c>
      <c r="BD61" s="6">
        <v>-1961</v>
      </c>
      <c r="BE61" s="6">
        <v>-1512</v>
      </c>
      <c r="BF61" s="6">
        <v>-3110</v>
      </c>
      <c r="BG61" s="6">
        <v>231</v>
      </c>
      <c r="BH61" s="6">
        <v>-2399</v>
      </c>
      <c r="BI61" s="6">
        <v>-1485</v>
      </c>
      <c r="BJ61" s="6">
        <v>-1815</v>
      </c>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row>
    <row r="62" spans="1:99" x14ac:dyDescent="0.25">
      <c r="B62" s="10" t="s">
        <v>41</v>
      </c>
      <c r="C62" s="6"/>
      <c r="D62" s="6"/>
      <c r="E62" s="6"/>
      <c r="F62" s="6"/>
      <c r="G62" s="6"/>
      <c r="H62" s="6"/>
      <c r="I62" s="6"/>
      <c r="J62" s="6"/>
      <c r="K62" s="6"/>
      <c r="L62" s="6"/>
      <c r="M62" s="6"/>
      <c r="N62" s="6">
        <v>-29</v>
      </c>
      <c r="O62" s="6">
        <v>-324</v>
      </c>
      <c r="P62" s="6"/>
      <c r="Q62" s="6"/>
      <c r="R62" s="6">
        <v>-461</v>
      </c>
      <c r="S62" s="6">
        <v>-1852</v>
      </c>
      <c r="T62" s="6"/>
      <c r="U62" s="6"/>
      <c r="V62" s="6">
        <v>573</v>
      </c>
      <c r="W62" s="6">
        <v>-435</v>
      </c>
      <c r="X62" s="6"/>
      <c r="Y62" s="6"/>
      <c r="Z62" s="6">
        <v>821</v>
      </c>
      <c r="AA62" s="6">
        <v>-54</v>
      </c>
      <c r="AB62" s="6">
        <v>-908</v>
      </c>
      <c r="AC62" s="6">
        <f t="shared" si="275"/>
        <v>700</v>
      </c>
      <c r="AD62" s="6">
        <v>100</v>
      </c>
      <c r="AE62" s="6">
        <v>-84</v>
      </c>
      <c r="AF62" s="6">
        <v>-184</v>
      </c>
      <c r="AG62" s="6">
        <f t="shared" si="276"/>
        <v>-530</v>
      </c>
      <c r="AH62" s="6">
        <v>360</v>
      </c>
      <c r="AI62" s="6">
        <v>326</v>
      </c>
      <c r="AJ62" s="6">
        <v>-1034</v>
      </c>
      <c r="AK62" s="6">
        <v>259</v>
      </c>
      <c r="AL62" s="6">
        <v>-2424</v>
      </c>
      <c r="AM62" s="6"/>
      <c r="AN62" s="6"/>
      <c r="AO62" s="6"/>
      <c r="AP62" s="6"/>
      <c r="AQ62" s="6"/>
      <c r="AR62" s="6"/>
      <c r="AS62" s="6"/>
      <c r="AT62" s="6"/>
      <c r="AU62" s="6"/>
      <c r="AV62" s="6"/>
      <c r="AW62" s="6"/>
      <c r="AX62" s="6">
        <v>355</v>
      </c>
      <c r="AY62" s="6">
        <v>-123</v>
      </c>
      <c r="AZ62" s="6">
        <v>-144</v>
      </c>
      <c r="BA62" s="6">
        <v>-159</v>
      </c>
      <c r="BB62" s="6">
        <v>-192</v>
      </c>
      <c r="BC62" s="6">
        <v>-690</v>
      </c>
      <c r="BD62" s="6">
        <v>47</v>
      </c>
      <c r="BE62" s="6">
        <v>135</v>
      </c>
      <c r="BF62" s="6">
        <v>-1750</v>
      </c>
      <c r="BG62" s="6">
        <v>162</v>
      </c>
      <c r="BH62" s="6">
        <v>559</v>
      </c>
      <c r="BI62" s="6">
        <v>-698</v>
      </c>
      <c r="BJ62" s="6">
        <v>-89</v>
      </c>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row>
    <row r="63" spans="1:99" x14ac:dyDescent="0.25">
      <c r="B63" s="10" t="s">
        <v>42</v>
      </c>
      <c r="C63" s="6"/>
      <c r="D63" s="6"/>
      <c r="E63" s="6"/>
      <c r="F63" s="6"/>
      <c r="G63" s="6"/>
      <c r="H63" s="6"/>
      <c r="I63" s="6"/>
      <c r="J63" s="6"/>
      <c r="K63" s="6"/>
      <c r="L63" s="6"/>
      <c r="M63" s="6"/>
      <c r="N63" s="6">
        <v>-16</v>
      </c>
      <c r="O63" s="6">
        <v>1</v>
      </c>
      <c r="P63" s="6"/>
      <c r="Q63" s="6"/>
      <c r="R63" s="6">
        <v>-10</v>
      </c>
      <c r="S63" s="6">
        <v>-185</v>
      </c>
      <c r="T63" s="6"/>
      <c r="U63" s="6"/>
      <c r="V63" s="6">
        <v>-108</v>
      </c>
      <c r="W63" s="6">
        <v>-24</v>
      </c>
      <c r="X63" s="6"/>
      <c r="Y63" s="6"/>
      <c r="Z63" s="6">
        <v>30</v>
      </c>
      <c r="AA63" s="6">
        <v>37</v>
      </c>
      <c r="AB63" s="6">
        <v>-36</v>
      </c>
      <c r="AC63" s="6">
        <f t="shared" si="275"/>
        <v>-111</v>
      </c>
      <c r="AD63" s="6">
        <v>-94</v>
      </c>
      <c r="AE63" s="6">
        <v>53</v>
      </c>
      <c r="AF63" s="6">
        <v>-29</v>
      </c>
      <c r="AG63" s="6">
        <f t="shared" si="276"/>
        <v>-200</v>
      </c>
      <c r="AH63" s="6">
        <v>-52</v>
      </c>
      <c r="AI63" s="6">
        <v>-190</v>
      </c>
      <c r="AJ63" s="6">
        <v>33</v>
      </c>
      <c r="AK63" s="6">
        <v>-272</v>
      </c>
      <c r="AL63" s="6">
        <v>-1082</v>
      </c>
      <c r="AM63" s="6"/>
      <c r="AN63" s="6"/>
      <c r="AO63" s="6"/>
      <c r="AP63" s="6"/>
      <c r="AQ63" s="6"/>
      <c r="AR63" s="6"/>
      <c r="AS63" s="6"/>
      <c r="AT63" s="6"/>
      <c r="AU63" s="6"/>
      <c r="AV63" s="6"/>
      <c r="AW63" s="6"/>
      <c r="AX63" s="6">
        <v>-142</v>
      </c>
      <c r="AY63" s="6">
        <v>-216</v>
      </c>
      <c r="AZ63" s="6">
        <v>-3</v>
      </c>
      <c r="BA63" s="6">
        <v>14</v>
      </c>
      <c r="BB63" s="6">
        <v>154</v>
      </c>
      <c r="BC63" s="6">
        <v>-159</v>
      </c>
      <c r="BD63" s="6">
        <v>41</v>
      </c>
      <c r="BE63" s="6">
        <v>-34</v>
      </c>
      <c r="BF63" s="6">
        <v>-349</v>
      </c>
      <c r="BG63" s="6">
        <v>-106</v>
      </c>
      <c r="BH63" s="6">
        <v>-80</v>
      </c>
      <c r="BI63" s="6">
        <v>-270</v>
      </c>
      <c r="BJ63" s="6">
        <v>-481</v>
      </c>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row>
    <row r="64" spans="1:99" x14ac:dyDescent="0.25">
      <c r="B64" s="17" t="s">
        <v>98</v>
      </c>
      <c r="C64" s="6"/>
      <c r="D64" s="6"/>
      <c r="E64" s="6"/>
      <c r="F64" s="6"/>
      <c r="G64" s="6"/>
      <c r="H64" s="6"/>
      <c r="I64" s="6"/>
      <c r="J64" s="6"/>
      <c r="K64" s="6"/>
      <c r="L64" s="6"/>
      <c r="M64" s="6"/>
      <c r="N64" s="6">
        <v>-44</v>
      </c>
      <c r="O64" s="6">
        <v>-56</v>
      </c>
      <c r="P64" s="6"/>
      <c r="Q64" s="6"/>
      <c r="R64" s="6">
        <v>-250</v>
      </c>
      <c r="S64" s="6">
        <v>116</v>
      </c>
      <c r="T64" s="6"/>
      <c r="U64" s="6"/>
      <c r="V64" s="6">
        <v>-882</v>
      </c>
      <c r="W64" s="6">
        <v>237</v>
      </c>
      <c r="X64" s="6"/>
      <c r="Y64" s="6"/>
      <c r="Z64" s="6">
        <v>-1104</v>
      </c>
      <c r="AA64" s="6">
        <v>-51</v>
      </c>
      <c r="AB64" s="6">
        <v>612</v>
      </c>
      <c r="AC64" s="6">
        <f t="shared" si="275"/>
        <v>594</v>
      </c>
      <c r="AD64" s="6">
        <v>-1112</v>
      </c>
      <c r="AE64" s="6">
        <v>250</v>
      </c>
      <c r="AF64" s="6">
        <v>667</v>
      </c>
      <c r="AG64" s="6">
        <f t="shared" si="276"/>
        <v>568</v>
      </c>
      <c r="AH64" s="6">
        <v>-1034</v>
      </c>
      <c r="AI64" s="24" t="s">
        <v>23</v>
      </c>
      <c r="AJ64" s="6">
        <v>397</v>
      </c>
      <c r="AK64" s="6">
        <v>623</v>
      </c>
      <c r="AL64" s="6">
        <v>-937</v>
      </c>
      <c r="AM64" s="6"/>
      <c r="AN64" s="6"/>
      <c r="AO64" s="6"/>
      <c r="AP64" s="6"/>
      <c r="AQ64" s="6"/>
      <c r="AR64" s="6"/>
      <c r="AS64" s="6"/>
      <c r="AT64" s="6"/>
      <c r="AU64" s="6"/>
      <c r="AV64" s="6"/>
      <c r="AW64" s="6"/>
      <c r="AX64" s="6">
        <v>26</v>
      </c>
      <c r="AY64" s="6">
        <v>31</v>
      </c>
      <c r="AZ64" s="6">
        <v>18</v>
      </c>
      <c r="BA64" s="6">
        <v>14</v>
      </c>
      <c r="BB64" s="6">
        <v>43</v>
      </c>
      <c r="BC64" s="6">
        <v>221</v>
      </c>
      <c r="BD64" s="6">
        <v>113</v>
      </c>
      <c r="BE64" s="6">
        <v>-17</v>
      </c>
      <c r="BF64" s="6">
        <v>1436</v>
      </c>
      <c r="BG64" s="6">
        <v>210</v>
      </c>
      <c r="BH64" s="6">
        <v>51</v>
      </c>
      <c r="BI64" s="6">
        <v>373</v>
      </c>
      <c r="BJ64" s="6">
        <v>-14</v>
      </c>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row>
    <row r="65" spans="2:99" x14ac:dyDescent="0.25">
      <c r="B65" s="7" t="s">
        <v>22</v>
      </c>
      <c r="C65" s="6"/>
      <c r="D65" s="6"/>
      <c r="E65" s="6"/>
      <c r="F65" s="6"/>
      <c r="G65" s="6"/>
      <c r="H65" s="6"/>
      <c r="I65" s="6"/>
      <c r="J65" s="6"/>
      <c r="K65" s="6"/>
      <c r="L65" s="6"/>
      <c r="M65" s="6"/>
      <c r="N65" s="6">
        <v>-169</v>
      </c>
      <c r="O65" s="6">
        <v>11</v>
      </c>
      <c r="P65" s="6"/>
      <c r="Q65" s="6"/>
      <c r="R65" s="6">
        <v>-72</v>
      </c>
      <c r="S65" s="6">
        <v>-61</v>
      </c>
      <c r="T65" s="6"/>
      <c r="U65" s="6"/>
      <c r="V65" s="6">
        <v>-105</v>
      </c>
      <c r="W65" s="6">
        <v>72</v>
      </c>
      <c r="X65" s="6"/>
      <c r="Y65" s="6"/>
      <c r="Z65" s="6">
        <v>-240</v>
      </c>
      <c r="AA65" s="6">
        <v>-356</v>
      </c>
      <c r="AB65" s="6">
        <v>596</v>
      </c>
      <c r="AC65" s="6">
        <f t="shared" si="275"/>
        <v>-271</v>
      </c>
      <c r="AD65" s="6" t="s">
        <v>23</v>
      </c>
      <c r="AE65" s="6">
        <v>0</v>
      </c>
      <c r="AF65" s="6">
        <v>0</v>
      </c>
      <c r="AG65" s="6">
        <f t="shared" si="276"/>
        <v>0</v>
      </c>
      <c r="AH65" s="6" t="s">
        <v>23</v>
      </c>
      <c r="AI65" s="24" t="s">
        <v>23</v>
      </c>
      <c r="AJ65" s="6">
        <v>-2883</v>
      </c>
      <c r="AK65" s="6">
        <v>0</v>
      </c>
      <c r="AL65" s="6">
        <v>0</v>
      </c>
      <c r="AM65" s="6"/>
      <c r="AN65" s="6"/>
      <c r="AO65" s="6"/>
      <c r="AP65" s="6"/>
      <c r="AQ65" s="6"/>
      <c r="AR65" s="6"/>
      <c r="AS65" s="6"/>
      <c r="AT65" s="6"/>
      <c r="AU65" s="6"/>
      <c r="AV65" s="6"/>
      <c r="AW65" s="6"/>
      <c r="AX65" s="6">
        <v>12</v>
      </c>
      <c r="AY65" s="6">
        <v>-28</v>
      </c>
      <c r="AZ65" s="6">
        <v>17</v>
      </c>
      <c r="BA65" s="6">
        <v>67</v>
      </c>
      <c r="BB65" s="6">
        <v>95</v>
      </c>
      <c r="BC65" s="6">
        <v>157</v>
      </c>
      <c r="BD65" s="6">
        <v>348</v>
      </c>
      <c r="BE65" s="6">
        <v>178</v>
      </c>
      <c r="BF65" s="6">
        <v>-12</v>
      </c>
      <c r="BG65" s="6">
        <v>90</v>
      </c>
      <c r="BH65" s="6">
        <v>-271</v>
      </c>
      <c r="BI65" s="11" t="s">
        <v>23</v>
      </c>
      <c r="BJ65" s="6">
        <v>0</v>
      </c>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row>
    <row r="66" spans="2:99" x14ac:dyDescent="0.25">
      <c r="B66" s="10" t="s">
        <v>43</v>
      </c>
      <c r="C66" s="6"/>
      <c r="D66" s="6"/>
      <c r="E66" s="6"/>
      <c r="F66" s="6"/>
      <c r="G66" s="6"/>
      <c r="H66" s="6"/>
      <c r="I66" s="6"/>
      <c r="J66" s="6"/>
      <c r="K66" s="6"/>
      <c r="L66" s="6"/>
      <c r="M66" s="6"/>
      <c r="N66" s="6">
        <v>980</v>
      </c>
      <c r="O66" s="6">
        <v>-3996</v>
      </c>
      <c r="P66" s="6"/>
      <c r="Q66" s="6"/>
      <c r="R66" s="6">
        <v>-1681</v>
      </c>
      <c r="S66" s="6">
        <v>1481</v>
      </c>
      <c r="T66" s="6"/>
      <c r="U66" s="6"/>
      <c r="V66" s="6">
        <v>763</v>
      </c>
      <c r="W66" s="6">
        <v>1180</v>
      </c>
      <c r="X66" s="6"/>
      <c r="Y66" s="6"/>
      <c r="Z66" s="6">
        <v>334</v>
      </c>
      <c r="AA66" s="6">
        <v>5530</v>
      </c>
      <c r="AB66" s="6">
        <v>-509</v>
      </c>
      <c r="AC66" s="6">
        <f t="shared" si="275"/>
        <v>-3</v>
      </c>
      <c r="AD66" s="6">
        <v>-1274</v>
      </c>
      <c r="AE66" s="6">
        <v>-497</v>
      </c>
      <c r="AF66" s="6">
        <v>572</v>
      </c>
      <c r="AG66" s="6">
        <f t="shared" si="276"/>
        <v>1572</v>
      </c>
      <c r="AH66" s="6">
        <v>-2231</v>
      </c>
      <c r="AI66" s="6">
        <v>-1107</v>
      </c>
      <c r="AJ66" s="6">
        <v>3338</v>
      </c>
      <c r="AK66" s="24">
        <v>3960</v>
      </c>
      <c r="AL66" s="6">
        <v>-271</v>
      </c>
      <c r="AM66" s="6"/>
      <c r="AN66" s="6"/>
      <c r="AO66" s="6"/>
      <c r="AP66" s="6"/>
      <c r="AQ66" s="6"/>
      <c r="AR66" s="6"/>
      <c r="AS66" s="6"/>
      <c r="AT66" s="6"/>
      <c r="AU66" s="6"/>
      <c r="AV66" s="6"/>
      <c r="AW66" s="6"/>
      <c r="AX66" s="6">
        <v>-38</v>
      </c>
      <c r="AY66" s="6">
        <v>328</v>
      </c>
      <c r="AZ66" s="6">
        <v>513</v>
      </c>
      <c r="BA66" s="6">
        <v>1014</v>
      </c>
      <c r="BB66" s="6">
        <v>309</v>
      </c>
      <c r="BC66" s="6">
        <v>1417</v>
      </c>
      <c r="BD66" s="6">
        <v>7300</v>
      </c>
      <c r="BE66" s="6">
        <v>-1054</v>
      </c>
      <c r="BF66" s="6">
        <v>3544</v>
      </c>
      <c r="BG66" s="6">
        <v>4210</v>
      </c>
      <c r="BH66" s="6">
        <v>5352</v>
      </c>
      <c r="BI66" s="6">
        <v>373</v>
      </c>
      <c r="BJ66" s="6">
        <v>1077</v>
      </c>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row>
    <row r="67" spans="2:99" x14ac:dyDescent="0.25">
      <c r="B67" s="17" t="s">
        <v>99</v>
      </c>
      <c r="C67" s="6"/>
      <c r="D67" s="6"/>
      <c r="E67" s="6"/>
      <c r="F67" s="6"/>
      <c r="G67" s="6"/>
      <c r="H67" s="6"/>
      <c r="I67" s="6"/>
      <c r="J67" s="6"/>
      <c r="K67" s="6"/>
      <c r="L67" s="6"/>
      <c r="M67" s="6"/>
      <c r="N67" s="6">
        <v>-16</v>
      </c>
      <c r="O67" s="6">
        <v>15</v>
      </c>
      <c r="P67" s="6"/>
      <c r="Q67" s="6"/>
      <c r="R67" s="6">
        <v>6</v>
      </c>
      <c r="S67" s="6">
        <v>3</v>
      </c>
      <c r="T67" s="6"/>
      <c r="U67" s="6"/>
      <c r="V67" s="6"/>
      <c r="W67" s="6"/>
      <c r="X67" s="6"/>
      <c r="Y67" s="6"/>
      <c r="Z67" s="6"/>
      <c r="AA67" s="6"/>
      <c r="AB67" s="6"/>
      <c r="AC67" s="6"/>
      <c r="AD67" s="6"/>
      <c r="AE67" s="6"/>
      <c r="AF67" s="6"/>
      <c r="AG67" s="6"/>
      <c r="AH67" s="24" t="s">
        <v>23</v>
      </c>
      <c r="AI67" s="24" t="s">
        <v>23</v>
      </c>
      <c r="AJ67" s="6">
        <v>0</v>
      </c>
      <c r="AK67" s="24">
        <v>0</v>
      </c>
      <c r="AL67" s="30" t="s">
        <v>23</v>
      </c>
      <c r="AM67" s="6"/>
      <c r="AN67" s="6"/>
      <c r="AO67" s="6"/>
      <c r="AP67" s="6"/>
      <c r="AQ67" s="6"/>
      <c r="AR67" s="6"/>
      <c r="AS67" s="6"/>
      <c r="AT67" s="6"/>
      <c r="AU67" s="6"/>
      <c r="AV67" s="6"/>
      <c r="AW67" s="6"/>
      <c r="AX67" s="6">
        <v>8</v>
      </c>
      <c r="AY67" s="6">
        <v>10</v>
      </c>
      <c r="AZ67" s="6">
        <v>-9</v>
      </c>
      <c r="BA67" s="6">
        <v>35</v>
      </c>
      <c r="BB67" s="6">
        <v>4</v>
      </c>
      <c r="BC67" s="6">
        <v>53</v>
      </c>
      <c r="BD67" s="6">
        <v>123</v>
      </c>
      <c r="BE67" s="6">
        <v>108</v>
      </c>
      <c r="BF67" s="6">
        <v>0</v>
      </c>
      <c r="BG67" s="6">
        <v>0</v>
      </c>
      <c r="BH67" s="6">
        <v>0</v>
      </c>
      <c r="BI67" s="6">
        <v>0</v>
      </c>
      <c r="BJ67" s="6">
        <v>0</v>
      </c>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row>
    <row r="68" spans="2:99" x14ac:dyDescent="0.25">
      <c r="B68" s="10" t="s">
        <v>44</v>
      </c>
      <c r="C68" s="6"/>
      <c r="D68" s="6"/>
      <c r="E68" s="6"/>
      <c r="F68" s="6"/>
      <c r="G68" s="6"/>
      <c r="H68" s="6"/>
      <c r="I68" s="6"/>
      <c r="J68" s="6"/>
      <c r="K68" s="6"/>
      <c r="L68" s="6"/>
      <c r="M68" s="6"/>
      <c r="N68" s="6">
        <v>-68</v>
      </c>
      <c r="O68" s="6">
        <v>-486</v>
      </c>
      <c r="P68" s="6"/>
      <c r="Q68" s="6"/>
      <c r="R68" s="6">
        <v>210</v>
      </c>
      <c r="S68" s="6">
        <v>-26</v>
      </c>
      <c r="T68" s="6"/>
      <c r="U68" s="6"/>
      <c r="V68" s="6">
        <v>-57</v>
      </c>
      <c r="W68" s="6">
        <v>-65</v>
      </c>
      <c r="X68" s="6"/>
      <c r="Y68" s="6"/>
      <c r="Z68" s="6">
        <v>184</v>
      </c>
      <c r="AA68" s="6">
        <v>-151</v>
      </c>
      <c r="AB68" s="6">
        <v>-72</v>
      </c>
      <c r="AC68" s="6">
        <f t="shared" si="275"/>
        <v>663</v>
      </c>
      <c r="AD68" s="6">
        <v>83</v>
      </c>
      <c r="AE68" s="6">
        <v>707</v>
      </c>
      <c r="AF68" s="6">
        <v>901</v>
      </c>
      <c r="AG68" s="6">
        <f t="shared" si="276"/>
        <v>1114</v>
      </c>
      <c r="AH68" s="6">
        <v>712</v>
      </c>
      <c r="AI68" s="6">
        <v>892</v>
      </c>
      <c r="AJ68" s="6">
        <v>-736</v>
      </c>
      <c r="AK68" s="6">
        <v>-431</v>
      </c>
      <c r="AL68" s="6">
        <v>-5173</v>
      </c>
      <c r="AM68" s="6"/>
      <c r="AN68" s="6"/>
      <c r="AO68" s="6"/>
      <c r="AP68" s="6"/>
      <c r="AQ68" s="6"/>
      <c r="AR68" s="6"/>
      <c r="AS68" s="6"/>
      <c r="AT68" s="6"/>
      <c r="AU68" s="6"/>
      <c r="AV68" s="6"/>
      <c r="AW68" s="6"/>
      <c r="AX68" s="6">
        <v>833</v>
      </c>
      <c r="AY68" s="6">
        <v>346</v>
      </c>
      <c r="AZ68" s="6">
        <v>1365</v>
      </c>
      <c r="BA68" s="6">
        <v>1262</v>
      </c>
      <c r="BB68" s="6">
        <v>3083</v>
      </c>
      <c r="BC68" s="6">
        <v>-634</v>
      </c>
      <c r="BD68" s="6">
        <v>1239</v>
      </c>
      <c r="BE68" s="6">
        <v>-527</v>
      </c>
      <c r="BF68" s="6">
        <v>941</v>
      </c>
      <c r="BG68" s="6">
        <v>886</v>
      </c>
      <c r="BH68" s="6">
        <v>624</v>
      </c>
      <c r="BI68" s="6">
        <v>2805</v>
      </c>
      <c r="BJ68" s="6">
        <v>437</v>
      </c>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row>
    <row r="69" spans="2:99" x14ac:dyDescent="0.25">
      <c r="B69" s="10" t="s">
        <v>45</v>
      </c>
      <c r="C69" s="6"/>
      <c r="D69" s="6"/>
      <c r="E69" s="6"/>
      <c r="F69" s="6"/>
      <c r="G69" s="6"/>
      <c r="H69" s="6"/>
      <c r="I69" s="6"/>
      <c r="J69" s="6"/>
      <c r="K69" s="6"/>
      <c r="L69" s="6"/>
      <c r="M69" s="6"/>
      <c r="N69" s="6">
        <f>SUM(N54:N68)</f>
        <v>11001</v>
      </c>
      <c r="O69" s="6">
        <f>SUM(O54:O68)</f>
        <v>3876</v>
      </c>
      <c r="P69" s="6"/>
      <c r="Q69" s="6"/>
      <c r="R69" s="6">
        <f>SUM(R54:R68)</f>
        <v>12242</v>
      </c>
      <c r="S69" s="6">
        <f>SUM(S54:S68)</f>
        <v>13246</v>
      </c>
      <c r="T69" s="6"/>
      <c r="U69" s="6"/>
      <c r="V69" s="6">
        <f>SUM(V54:V68)</f>
        <v>14076</v>
      </c>
      <c r="W69" s="6">
        <f>SUM(W54:W68)</f>
        <v>12196</v>
      </c>
      <c r="X69" s="6"/>
      <c r="Y69" s="6"/>
      <c r="Z69" s="6">
        <f t="shared" ref="Z69:AI69" si="277">SUM(Z54:Z68)</f>
        <v>13998</v>
      </c>
      <c r="AA69" s="6">
        <f t="shared" si="277"/>
        <v>17308</v>
      </c>
      <c r="AB69" s="6">
        <f t="shared" si="277"/>
        <v>20402</v>
      </c>
      <c r="AC69" s="6">
        <f t="shared" si="277"/>
        <v>19405</v>
      </c>
      <c r="AD69" s="6">
        <f t="shared" si="277"/>
        <v>19246</v>
      </c>
      <c r="AE69" s="6">
        <f t="shared" si="277"/>
        <v>19370</v>
      </c>
      <c r="AF69" s="6">
        <f t="shared" si="277"/>
        <v>24724</v>
      </c>
      <c r="AG69" s="6">
        <f t="shared" si="277"/>
        <v>28038</v>
      </c>
      <c r="AH69" s="6">
        <f t="shared" si="277"/>
        <v>24026</v>
      </c>
      <c r="AI69" s="6">
        <f t="shared" si="277"/>
        <v>25101</v>
      </c>
      <c r="AJ69" s="6">
        <f>SUM(AJ54:AJ68)</f>
        <v>30459</v>
      </c>
      <c r="AK69" s="6">
        <f>SUM(AK54:AK68)</f>
        <v>36214</v>
      </c>
      <c r="AL69" s="6">
        <f>SUM(AL54:AL68)</f>
        <v>32226</v>
      </c>
      <c r="AM69" s="6">
        <v>31050</v>
      </c>
      <c r="AN69" s="6">
        <v>32230</v>
      </c>
      <c r="AO69" s="6">
        <v>38600</v>
      </c>
      <c r="AP69" s="6">
        <v>36160</v>
      </c>
      <c r="AQ69" s="6"/>
      <c r="AR69" s="6"/>
      <c r="AS69" s="6"/>
      <c r="AT69" s="6"/>
      <c r="AU69" s="6"/>
      <c r="AV69" s="6"/>
      <c r="AW69" s="6"/>
      <c r="AX69" s="6">
        <v>4831</v>
      </c>
      <c r="AY69" s="6">
        <v>7326</v>
      </c>
      <c r="AZ69" s="6">
        <f>SUM(AZ54:AZ68)</f>
        <v>10320</v>
      </c>
      <c r="BA69" s="6">
        <f>SUM(BA54:BA68)</f>
        <v>16108</v>
      </c>
      <c r="BB69" s="6">
        <f>SUM(BB54:BB68)</f>
        <v>24216</v>
      </c>
      <c r="BC69" s="6">
        <f>SUM(BC54:BC68)</f>
        <v>29274</v>
      </c>
      <c r="BD69" s="6">
        <v>36314</v>
      </c>
      <c r="BE69" s="6">
        <v>38747</v>
      </c>
      <c r="BF69" s="6">
        <f>SUM(BF54:BF68)</f>
        <v>57683</v>
      </c>
      <c r="BG69" s="6">
        <f>SUM(BG54:BG68)</f>
        <v>50475</v>
      </c>
      <c r="BH69" s="6">
        <f>SUM(BH54:BH68)</f>
        <v>71113</v>
      </c>
      <c r="BI69" s="6">
        <f>SUM(BI54:BI68)</f>
        <v>91378</v>
      </c>
      <c r="BJ69" s="6">
        <f>SUM(BJ54:BJ68)</f>
        <v>115800</v>
      </c>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row>
    <row r="70" spans="2:99" s="33" customFormat="1" x14ac:dyDescent="0.3">
      <c r="B70" s="31" t="s">
        <v>113</v>
      </c>
      <c r="C70" s="32"/>
      <c r="D70" s="32"/>
      <c r="E70" s="32"/>
      <c r="F70" s="32"/>
      <c r="G70" s="32"/>
      <c r="H70" s="32"/>
      <c r="I70" s="32"/>
      <c r="J70" s="32"/>
      <c r="K70" s="32"/>
      <c r="L70" s="32"/>
      <c r="M70" s="32"/>
      <c r="N70" s="32"/>
      <c r="O70" s="32"/>
      <c r="P70" s="32"/>
      <c r="Q70" s="32"/>
      <c r="R70" s="32"/>
      <c r="S70" s="32"/>
      <c r="T70" s="32"/>
      <c r="U70" s="32"/>
      <c r="V70" s="32"/>
      <c r="W70" s="32"/>
      <c r="X70" s="32"/>
      <c r="Y70" s="32"/>
      <c r="Z70" s="31">
        <f t="shared" ref="Z70:AO70" si="278">+Z69/Z26</f>
        <v>0.48867167044859489</v>
      </c>
      <c r="AA70" s="31">
        <f t="shared" si="278"/>
        <v>0.54089190287196476</v>
      </c>
      <c r="AB70" s="31">
        <f t="shared" si="278"/>
        <v>0.5974931177883207</v>
      </c>
      <c r="AC70" s="31">
        <f t="shared" si="278"/>
        <v>0.48377044276027126</v>
      </c>
      <c r="AD70" s="31">
        <f t="shared" si="278"/>
        <v>0.5279385543821149</v>
      </c>
      <c r="AE70" s="31">
        <f t="shared" si="278"/>
        <v>0.49576412172711221</v>
      </c>
      <c r="AF70" s="31">
        <f t="shared" si="278"/>
        <v>0.60913055261277682</v>
      </c>
      <c r="AG70" s="31">
        <f t="shared" si="278"/>
        <v>0.5794651345430496</v>
      </c>
      <c r="AH70" s="31">
        <f t="shared" si="278"/>
        <v>0.56780261851869362</v>
      </c>
      <c r="AI70" s="31">
        <f t="shared" si="278"/>
        <v>0.52826416365013895</v>
      </c>
      <c r="AJ70" s="31">
        <f t="shared" si="278"/>
        <v>0.59441473791030797</v>
      </c>
      <c r="AK70" s="31">
        <f t="shared" si="278"/>
        <v>0.60464495016112063</v>
      </c>
      <c r="AL70" s="31">
        <f t="shared" si="278"/>
        <v>0.57228605423451906</v>
      </c>
      <c r="AM70" s="31">
        <f t="shared" si="278"/>
        <v>0.52167338709677424</v>
      </c>
      <c r="AN70" s="31">
        <f t="shared" si="278"/>
        <v>0.51354365838113447</v>
      </c>
      <c r="AO70" s="31">
        <f t="shared" si="278"/>
        <v>0.52992861065348706</v>
      </c>
      <c r="AP70" s="31" t="e">
        <f t="shared" ref="AP70" si="279">+AP69/AP26</f>
        <v>#DIV/0!</v>
      </c>
      <c r="AQ70" s="32"/>
      <c r="AR70" s="32"/>
      <c r="AS70" s="32"/>
      <c r="AT70" s="32"/>
      <c r="AU70" s="32"/>
      <c r="AV70" s="32"/>
      <c r="AW70" s="32"/>
      <c r="AX70" s="31">
        <f t="shared" ref="AX70:AZ70" si="280">+AX69/AX26</f>
        <v>0.61369410569105687</v>
      </c>
      <c r="AY70" s="31">
        <f t="shared" si="280"/>
        <v>0.58767848548050694</v>
      </c>
      <c r="AZ70" s="31">
        <f t="shared" si="280"/>
        <v>0.57563587684069617</v>
      </c>
      <c r="BA70" s="31">
        <f t="shared" ref="BA70" si="281">+BA69/BA26</f>
        <v>0.58282075403430056</v>
      </c>
      <c r="BB70" s="31">
        <f t="shared" ref="BB70" si="282">+BB69/BB26</f>
        <v>0.59567559589698182</v>
      </c>
      <c r="BC70" s="31">
        <f t="shared" ref="BC70:BD70" si="283">+BC69/BC26</f>
        <v>0.52426662846090477</v>
      </c>
      <c r="BD70" s="31">
        <f t="shared" si="283"/>
        <v>0.51365687370043989</v>
      </c>
      <c r="BE70" s="31">
        <f t="shared" ref="BE70" si="284">+BE69/BE26</f>
        <v>0.45072994823474671</v>
      </c>
      <c r="BF70" s="31">
        <f t="shared" ref="BF70" si="285">+BF69/BF26</f>
        <v>0.48913329206556488</v>
      </c>
      <c r="BG70" s="31">
        <f t="shared" ref="BG70" si="286">+BG69/BG26</f>
        <v>0.43285681208140026</v>
      </c>
      <c r="BH70" s="31">
        <f t="shared" ref="BH70" si="287">+BH69/BH26</f>
        <v>0.52714563164371175</v>
      </c>
      <c r="BI70" s="31">
        <f t="shared" ref="BI70:BJ70" si="288">+BI69/BI26</f>
        <v>0.5554859848876299</v>
      </c>
      <c r="BJ70" s="31">
        <f t="shared" si="288"/>
        <v>0.57621687250579701</v>
      </c>
      <c r="BK70" s="32"/>
      <c r="BL70" s="32"/>
      <c r="BM70" s="32"/>
      <c r="BN70" s="32"/>
      <c r="BO70" s="32"/>
      <c r="BP70" s="32"/>
      <c r="BQ70" s="32"/>
      <c r="BR70" s="32"/>
      <c r="BS70" s="32"/>
      <c r="BT70" s="32"/>
      <c r="BU70" s="32"/>
      <c r="BV70" s="32"/>
      <c r="BW70" s="32"/>
      <c r="BX70" s="32"/>
      <c r="BY70" s="32"/>
      <c r="BZ70" s="32"/>
      <c r="CA70" s="32"/>
      <c r="CB70" s="32"/>
      <c r="CC70" s="32"/>
      <c r="CD70" s="32"/>
      <c r="CE70" s="32"/>
      <c r="CF70" s="32"/>
      <c r="CG70" s="32"/>
      <c r="CH70" s="32"/>
      <c r="CI70" s="32"/>
      <c r="CJ70" s="32"/>
      <c r="CK70" s="32"/>
      <c r="CL70" s="32"/>
      <c r="CM70" s="32"/>
      <c r="CN70" s="32"/>
      <c r="CO70" s="32"/>
      <c r="CP70" s="32"/>
      <c r="CQ70" s="32"/>
      <c r="CR70" s="32"/>
      <c r="CS70" s="32"/>
      <c r="CT70" s="32"/>
      <c r="CU70" s="32"/>
    </row>
    <row r="71" spans="2:99" s="33" customFormat="1" x14ac:dyDescent="0.3">
      <c r="B71" s="31" t="s">
        <v>155</v>
      </c>
      <c r="C71" s="32"/>
      <c r="D71" s="32"/>
      <c r="E71" s="32"/>
      <c r="F71" s="32"/>
      <c r="G71" s="32"/>
      <c r="H71" s="32"/>
      <c r="I71" s="32"/>
      <c r="J71" s="32"/>
      <c r="K71" s="32"/>
      <c r="L71" s="32"/>
      <c r="M71" s="32"/>
      <c r="N71" s="32"/>
      <c r="O71" s="32"/>
      <c r="P71" s="32"/>
      <c r="Q71" s="32"/>
      <c r="R71" s="32"/>
      <c r="S71" s="32"/>
      <c r="T71" s="32"/>
      <c r="U71" s="32"/>
      <c r="V71" s="32"/>
      <c r="W71" s="32"/>
      <c r="X71" s="32"/>
      <c r="Y71" s="32"/>
      <c r="Z71" s="31">
        <f t="shared" ref="Z71:AF71" si="289">+Z69/V69-1</f>
        <v>-5.5413469735720033E-3</v>
      </c>
      <c r="AA71" s="31">
        <f t="shared" si="289"/>
        <v>0.41915382092489351</v>
      </c>
      <c r="AB71" s="31"/>
      <c r="AC71" s="31"/>
      <c r="AD71" s="31">
        <f t="shared" si="289"/>
        <v>0.3749107015287898</v>
      </c>
      <c r="AE71" s="31">
        <f t="shared" si="289"/>
        <v>0.11913565981049223</v>
      </c>
      <c r="AF71" s="31">
        <f t="shared" si="289"/>
        <v>0.21184197627683554</v>
      </c>
      <c r="AG71" s="31">
        <f t="shared" ref="AG71:AP71" si="290">+AG69/AC69-1</f>
        <v>0.44488533883019832</v>
      </c>
      <c r="AH71" s="31">
        <f t="shared" si="290"/>
        <v>0.24836329626935472</v>
      </c>
      <c r="AI71" s="31">
        <f t="shared" si="290"/>
        <v>0.29586990191017026</v>
      </c>
      <c r="AJ71" s="31">
        <f t="shared" si="290"/>
        <v>0.23196084775926229</v>
      </c>
      <c r="AK71" s="31">
        <f t="shared" si="290"/>
        <v>0.2916042513731365</v>
      </c>
      <c r="AL71" s="31">
        <f t="shared" si="290"/>
        <v>0.34129692832764502</v>
      </c>
      <c r="AM71" s="31">
        <f t="shared" si="290"/>
        <v>0.23700250986016491</v>
      </c>
      <c r="AN71" s="31">
        <f t="shared" si="290"/>
        <v>5.8143734200072128E-2</v>
      </c>
      <c r="AO71" s="31">
        <f t="shared" si="290"/>
        <v>6.5886121389517882E-2</v>
      </c>
      <c r="AP71" s="31">
        <f t="shared" si="290"/>
        <v>0.12207534289083344</v>
      </c>
      <c r="AQ71" s="32"/>
      <c r="AR71" s="32"/>
      <c r="AS71" s="32"/>
      <c r="AT71" s="32"/>
      <c r="AU71" s="32"/>
      <c r="AV71" s="32"/>
      <c r="AW71" s="32"/>
      <c r="AX71" s="32"/>
      <c r="AY71" s="31">
        <f t="shared" ref="AY71:BJ71" si="291">+AY69/AX69-1</f>
        <v>0.51645622024425575</v>
      </c>
      <c r="AZ71" s="31">
        <f t="shared" si="291"/>
        <v>0.40868140868140879</v>
      </c>
      <c r="BA71" s="31">
        <f t="shared" si="291"/>
        <v>0.56085271317829455</v>
      </c>
      <c r="BB71" s="31">
        <f t="shared" si="291"/>
        <v>0.50335237149242618</v>
      </c>
      <c r="BC71" s="31">
        <f t="shared" si="291"/>
        <v>0.20887016848364715</v>
      </c>
      <c r="BD71" s="31">
        <f t="shared" si="291"/>
        <v>0.24048643847783024</v>
      </c>
      <c r="BE71" s="31">
        <f t="shared" si="291"/>
        <v>6.699895357162533E-2</v>
      </c>
      <c r="BF71" s="31">
        <f t="shared" si="291"/>
        <v>0.48870880326218802</v>
      </c>
      <c r="BG71" s="31">
        <f t="shared" si="291"/>
        <v>-0.12495882669070613</v>
      </c>
      <c r="BH71" s="31">
        <f t="shared" si="291"/>
        <v>0.40887568103021299</v>
      </c>
      <c r="BI71" s="31">
        <f t="shared" si="291"/>
        <v>0.28496899301112322</v>
      </c>
      <c r="BJ71" s="31">
        <f t="shared" si="291"/>
        <v>0.2672634550986015</v>
      </c>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c r="CL71" s="32"/>
      <c r="CM71" s="32"/>
      <c r="CN71" s="32"/>
      <c r="CO71" s="32"/>
      <c r="CP71" s="32"/>
      <c r="CQ71" s="32"/>
      <c r="CR71" s="32"/>
      <c r="CS71" s="32"/>
      <c r="CT71" s="32"/>
      <c r="CU71" s="32"/>
    </row>
    <row r="72" spans="2:99" x14ac:dyDescent="0.25">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row>
    <row r="73" spans="2:99" x14ac:dyDescent="0.25">
      <c r="B73" s="10" t="s">
        <v>46</v>
      </c>
      <c r="C73" s="6"/>
      <c r="D73" s="6"/>
      <c r="E73" s="6"/>
      <c r="F73" s="6"/>
      <c r="G73" s="6"/>
      <c r="H73" s="6"/>
      <c r="I73" s="6"/>
      <c r="J73" s="6"/>
      <c r="K73" s="6"/>
      <c r="L73" s="6"/>
      <c r="M73" s="6"/>
      <c r="N73" s="6">
        <v>-3558</v>
      </c>
      <c r="O73" s="6">
        <v>-3255</v>
      </c>
      <c r="P73" s="6"/>
      <c r="Q73" s="6"/>
      <c r="R73" s="6">
        <v>-4272</v>
      </c>
      <c r="S73" s="6">
        <v>-4612</v>
      </c>
      <c r="T73" s="6"/>
      <c r="U73" s="6"/>
      <c r="V73" s="6">
        <v>-5441</v>
      </c>
      <c r="W73" s="6">
        <v>-7572</v>
      </c>
      <c r="X73" s="6"/>
      <c r="Y73" s="6"/>
      <c r="Z73" s="6">
        <v>-6823</v>
      </c>
      <c r="AA73" s="6">
        <v>-6235</v>
      </c>
      <c r="AB73" s="6">
        <v>-6395</v>
      </c>
      <c r="AC73" s="6">
        <f t="shared" ref="AC73:AC80" si="292">+SUM(BH73)-SUM(Z73:AB73)</f>
        <v>-7813</v>
      </c>
      <c r="AD73" s="6">
        <v>-6400</v>
      </c>
      <c r="AE73" s="6">
        <v>-8173</v>
      </c>
      <c r="AF73" s="6">
        <v>-8258</v>
      </c>
      <c r="AG73" s="6">
        <f t="shared" ref="AG73:AG80" si="293">+SUM(BI73)-SUM(AD73:AF73)</f>
        <v>-14425</v>
      </c>
      <c r="AH73" s="6">
        <v>-12941</v>
      </c>
      <c r="AI73" s="6">
        <v>-16538</v>
      </c>
      <c r="AJ73" s="6">
        <v>-18829</v>
      </c>
      <c r="AK73" s="6">
        <v>-21383</v>
      </c>
      <c r="AL73" s="6">
        <v>-18997</v>
      </c>
      <c r="AM73" s="6">
        <v>-25000</v>
      </c>
      <c r="AN73" s="6">
        <v>-25000</v>
      </c>
      <c r="AO73" s="6">
        <v>-25000</v>
      </c>
      <c r="AP73" s="6"/>
      <c r="AQ73" s="6"/>
      <c r="AR73" s="6"/>
      <c r="AS73" s="6"/>
      <c r="AT73" s="6"/>
      <c r="AU73" s="6"/>
      <c r="AV73" s="6"/>
      <c r="AW73" s="6"/>
      <c r="AX73" s="6">
        <v>-1362</v>
      </c>
      <c r="AY73" s="6">
        <v>-1831</v>
      </c>
      <c r="AZ73" s="6">
        <v>-2523</v>
      </c>
      <c r="BA73" s="6">
        <v>-4491</v>
      </c>
      <c r="BB73" s="6">
        <v>-6733</v>
      </c>
      <c r="BC73" s="6">
        <v>-13915</v>
      </c>
      <c r="BD73" s="6">
        <v>-15102</v>
      </c>
      <c r="BE73" s="6">
        <v>-15115</v>
      </c>
      <c r="BF73" s="6">
        <v>-18690</v>
      </c>
      <c r="BG73" s="6">
        <v>-31431</v>
      </c>
      <c r="BH73" s="6">
        <v>-27266</v>
      </c>
      <c r="BI73" s="6">
        <v>-37256</v>
      </c>
      <c r="BJ73" s="24">
        <v>-69691</v>
      </c>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row>
    <row r="74" spans="2:99" x14ac:dyDescent="0.25">
      <c r="B74" s="10" t="s">
        <v>47</v>
      </c>
      <c r="C74" s="14"/>
      <c r="D74" s="14"/>
      <c r="E74" s="14"/>
      <c r="F74" s="14"/>
      <c r="G74" s="14"/>
      <c r="H74" s="14"/>
      <c r="I74" s="14"/>
      <c r="J74" s="14"/>
      <c r="K74" s="14"/>
      <c r="L74" s="14"/>
      <c r="M74" s="14"/>
      <c r="N74" s="14" t="s">
        <v>23</v>
      </c>
      <c r="O74" s="6">
        <v>0</v>
      </c>
      <c r="P74" s="6"/>
      <c r="Q74" s="6"/>
      <c r="R74" s="14" t="s">
        <v>23</v>
      </c>
      <c r="S74" s="6">
        <v>0</v>
      </c>
      <c r="T74" s="6"/>
      <c r="U74" s="6"/>
      <c r="V74" s="6">
        <v>126</v>
      </c>
      <c r="W74" s="6">
        <v>44</v>
      </c>
      <c r="X74" s="6"/>
      <c r="Y74" s="6"/>
      <c r="Z74" s="6" t="s">
        <v>23</v>
      </c>
      <c r="AA74" s="6">
        <v>101</v>
      </c>
      <c r="AB74" s="6">
        <v>-101</v>
      </c>
      <c r="AC74" s="6">
        <f t="shared" si="292"/>
        <v>221</v>
      </c>
      <c r="AD74" s="6" t="s">
        <v>23</v>
      </c>
      <c r="AE74" s="6">
        <v>0</v>
      </c>
      <c r="AF74" s="6">
        <v>0</v>
      </c>
      <c r="AG74" s="6">
        <f t="shared" si="293"/>
        <v>0</v>
      </c>
      <c r="AH74" s="6" t="s">
        <v>23</v>
      </c>
      <c r="AI74" s="24" t="s">
        <v>23</v>
      </c>
      <c r="AJ74" s="6">
        <v>0</v>
      </c>
      <c r="AK74" s="6">
        <v>0</v>
      </c>
      <c r="AL74" s="30" t="s">
        <v>23</v>
      </c>
      <c r="AM74" s="6"/>
      <c r="AN74" s="6"/>
      <c r="AO74" s="6"/>
      <c r="AP74" s="6"/>
      <c r="AQ74" s="6"/>
      <c r="AR74" s="6"/>
      <c r="AS74" s="6"/>
      <c r="AT74" s="6"/>
      <c r="AU74" s="6"/>
      <c r="AV74" s="6"/>
      <c r="AW74" s="6"/>
      <c r="AX74" s="30" t="s">
        <v>23</v>
      </c>
      <c r="AY74" s="30" t="s">
        <v>23</v>
      </c>
      <c r="AZ74" s="30" t="s">
        <v>23</v>
      </c>
      <c r="BA74" s="30" t="s">
        <v>23</v>
      </c>
      <c r="BB74" s="30" t="s">
        <v>23</v>
      </c>
      <c r="BC74" s="6">
        <v>0</v>
      </c>
      <c r="BD74" s="6">
        <v>0</v>
      </c>
      <c r="BE74" s="6">
        <v>0</v>
      </c>
      <c r="BF74" s="6">
        <v>123</v>
      </c>
      <c r="BG74" s="6">
        <v>245</v>
      </c>
      <c r="BH74" s="6">
        <v>221</v>
      </c>
      <c r="BI74" s="11" t="s">
        <v>23</v>
      </c>
      <c r="BJ74" s="6">
        <v>0</v>
      </c>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row>
    <row r="75" spans="2:99" x14ac:dyDescent="0.25">
      <c r="B75" s="10" t="s">
        <v>52</v>
      </c>
      <c r="C75" s="6"/>
      <c r="D75" s="6"/>
      <c r="E75" s="6"/>
      <c r="F75" s="6"/>
      <c r="G75" s="6"/>
      <c r="H75" s="6"/>
      <c r="I75" s="6"/>
      <c r="J75" s="6"/>
      <c r="K75" s="6"/>
      <c r="L75" s="6"/>
      <c r="M75" s="6"/>
      <c r="N75" s="6">
        <v>-7884</v>
      </c>
      <c r="O75" s="6">
        <v>-6179</v>
      </c>
      <c r="P75" s="6"/>
      <c r="Q75" s="6"/>
      <c r="R75" s="6">
        <v>-6231</v>
      </c>
      <c r="S75" s="6">
        <v>-10297</v>
      </c>
      <c r="T75" s="6"/>
      <c r="U75" s="6"/>
      <c r="V75" s="6">
        <v>-4068</v>
      </c>
      <c r="W75" s="6">
        <v>-2220</v>
      </c>
      <c r="X75" s="6"/>
      <c r="Y75" s="6"/>
      <c r="Z75" s="6">
        <v>-85</v>
      </c>
      <c r="AA75" s="6">
        <v>-718</v>
      </c>
      <c r="AB75" s="6">
        <v>-1007</v>
      </c>
      <c r="AC75" s="6">
        <f t="shared" si="292"/>
        <v>-1172</v>
      </c>
      <c r="AD75" s="6">
        <v>-6887</v>
      </c>
      <c r="AE75" s="6">
        <v>-3289</v>
      </c>
      <c r="AF75" s="6">
        <v>-4468</v>
      </c>
      <c r="AG75" s="6">
        <f t="shared" si="293"/>
        <v>-10898</v>
      </c>
      <c r="AH75" s="6">
        <v>-11763</v>
      </c>
      <c r="AI75" s="6">
        <v>-7746</v>
      </c>
      <c r="AJ75" s="6">
        <v>-2840</v>
      </c>
      <c r="AK75" s="6">
        <v>-14580</v>
      </c>
      <c r="AL75" s="6">
        <v>-32978</v>
      </c>
      <c r="AM75" s="6"/>
      <c r="AN75" s="6"/>
      <c r="AO75" s="6"/>
      <c r="AP75" s="6"/>
      <c r="AQ75" s="6"/>
      <c r="AR75" s="6"/>
      <c r="AS75" s="6"/>
      <c r="AT75" s="6"/>
      <c r="AU75" s="6"/>
      <c r="AV75" s="6"/>
      <c r="AW75" s="6"/>
      <c r="AX75" s="6">
        <v>-7433</v>
      </c>
      <c r="AY75" s="6">
        <v>-9104</v>
      </c>
      <c r="AZ75" s="6">
        <v>-15938</v>
      </c>
      <c r="BA75" s="6">
        <v>-22341</v>
      </c>
      <c r="BB75" s="6">
        <v>-25682</v>
      </c>
      <c r="BC75" s="6">
        <v>-14656</v>
      </c>
      <c r="BD75" s="6">
        <v>-23910</v>
      </c>
      <c r="BE75" s="6">
        <v>-33930</v>
      </c>
      <c r="BF75" s="6">
        <v>-30407</v>
      </c>
      <c r="BG75" s="6">
        <v>-9626</v>
      </c>
      <c r="BH75" s="6">
        <v>-2982</v>
      </c>
      <c r="BI75" s="6">
        <v>-25542</v>
      </c>
      <c r="BJ75" s="6">
        <v>-36929</v>
      </c>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row>
    <row r="76" spans="2:99" x14ac:dyDescent="0.25">
      <c r="B76" s="10" t="s">
        <v>51</v>
      </c>
      <c r="C76" s="6"/>
      <c r="D76" s="6"/>
      <c r="E76" s="6"/>
      <c r="F76" s="6"/>
      <c r="G76" s="6"/>
      <c r="H76" s="6"/>
      <c r="I76" s="6"/>
      <c r="J76" s="6"/>
      <c r="K76" s="6"/>
      <c r="L76" s="6"/>
      <c r="M76" s="6"/>
      <c r="N76" s="6">
        <f>2764+4644</f>
        <v>7408</v>
      </c>
      <c r="O76" s="6">
        <v>5841</v>
      </c>
      <c r="P76" s="6"/>
      <c r="Q76" s="6"/>
      <c r="R76" s="6">
        <f>1650+3981</f>
        <v>5631</v>
      </c>
      <c r="S76" s="6">
        <v>7033</v>
      </c>
      <c r="T76" s="6"/>
      <c r="U76" s="6"/>
      <c r="V76" s="6">
        <v>5467</v>
      </c>
      <c r="W76" s="6">
        <v>3159</v>
      </c>
      <c r="X76" s="6"/>
      <c r="Y76" s="6"/>
      <c r="Z76" s="6">
        <v>534</v>
      </c>
      <c r="AA76" s="6">
        <v>1817</v>
      </c>
      <c r="AB76" s="6">
        <v>1474</v>
      </c>
      <c r="AC76" s="6">
        <f t="shared" si="292"/>
        <v>2359</v>
      </c>
      <c r="AD76" s="6">
        <v>4625</v>
      </c>
      <c r="AE76" s="6">
        <v>3233</v>
      </c>
      <c r="AF76" s="6">
        <v>4114</v>
      </c>
      <c r="AG76" s="6">
        <f t="shared" si="293"/>
        <v>3817</v>
      </c>
      <c r="AH76" s="6">
        <v>4784</v>
      </c>
      <c r="AI76" s="6">
        <v>14273</v>
      </c>
      <c r="AJ76" s="6">
        <v>4704</v>
      </c>
      <c r="AK76" s="6">
        <v>3113</v>
      </c>
      <c r="AL76" s="6">
        <v>19176</v>
      </c>
      <c r="AM76" s="6"/>
      <c r="AN76" s="6"/>
      <c r="AO76" s="6"/>
      <c r="AP76" s="6"/>
      <c r="AQ76" s="6"/>
      <c r="AR76" s="6"/>
      <c r="AS76" s="6"/>
      <c r="AT76" s="6"/>
      <c r="AU76" s="6"/>
      <c r="AV76" s="6"/>
      <c r="AW76" s="6"/>
      <c r="AX76" s="6">
        <f>2988+3563</f>
        <v>6551</v>
      </c>
      <c r="AY76" s="6">
        <f>8438+1909</f>
        <v>10347</v>
      </c>
      <c r="AZ76" s="6">
        <f>6928+2310</f>
        <v>9238</v>
      </c>
      <c r="BA76" s="6">
        <f>13894+1261</f>
        <v>15155</v>
      </c>
      <c r="BB76" s="6">
        <f>9444+2988</f>
        <v>12432</v>
      </c>
      <c r="BC76" s="6">
        <f>12358+4772</f>
        <v>17130</v>
      </c>
      <c r="BD76" s="6">
        <f>9565+10152</f>
        <v>19717</v>
      </c>
      <c r="BE76" s="6">
        <f>11787+13984</f>
        <v>25771</v>
      </c>
      <c r="BF76" s="6">
        <v>42586</v>
      </c>
      <c r="BG76" s="6">
        <v>13158</v>
      </c>
      <c r="BH76" s="6">
        <v>6184</v>
      </c>
      <c r="BI76" s="6">
        <v>15789</v>
      </c>
      <c r="BJ76" s="6">
        <v>26874</v>
      </c>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row>
    <row r="77" spans="2:99" x14ac:dyDescent="0.25">
      <c r="B77" s="25" t="s">
        <v>108</v>
      </c>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24" t="s">
        <v>23</v>
      </c>
      <c r="AI77" s="6">
        <v>-15114</v>
      </c>
      <c r="AJ77" s="6">
        <v>-3146</v>
      </c>
      <c r="AK77" s="6">
        <v>0</v>
      </c>
      <c r="AL77" s="6">
        <v>-544</v>
      </c>
      <c r="AM77" s="6"/>
      <c r="AN77" s="6"/>
      <c r="AO77" s="6"/>
      <c r="AP77" s="6"/>
      <c r="AQ77" s="6"/>
      <c r="AR77" s="6"/>
      <c r="AS77" s="6"/>
      <c r="AT77" s="6"/>
      <c r="AU77" s="6"/>
      <c r="AV77" s="6"/>
      <c r="AW77" s="6"/>
      <c r="AX77" s="30" t="s">
        <v>23</v>
      </c>
      <c r="AY77" s="30" t="s">
        <v>23</v>
      </c>
      <c r="AZ77" s="30" t="s">
        <v>23</v>
      </c>
      <c r="BA77" s="30" t="s">
        <v>23</v>
      </c>
      <c r="BB77" s="30" t="s">
        <v>23</v>
      </c>
      <c r="BC77" s="6">
        <v>-25</v>
      </c>
      <c r="BD77" s="6">
        <v>-61</v>
      </c>
      <c r="BE77" s="6">
        <v>-6361</v>
      </c>
      <c r="BF77" s="24" t="s">
        <v>23</v>
      </c>
      <c r="BG77" s="24" t="s">
        <v>23</v>
      </c>
      <c r="BH77" s="24" t="s">
        <v>23</v>
      </c>
      <c r="BI77" s="24" t="s">
        <v>23</v>
      </c>
      <c r="BJ77" s="6">
        <v>0</v>
      </c>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row>
    <row r="78" spans="2:99" x14ac:dyDescent="0.25">
      <c r="B78" s="25" t="s">
        <v>109</v>
      </c>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24" t="s">
        <v>23</v>
      </c>
      <c r="AI78" s="6">
        <v>-775</v>
      </c>
      <c r="AJ78" s="6">
        <v>-1022</v>
      </c>
      <c r="AK78" s="6">
        <v>-635</v>
      </c>
      <c r="AL78" s="6">
        <v>-118</v>
      </c>
      <c r="AM78" s="6"/>
      <c r="AN78" s="6"/>
      <c r="AO78" s="6"/>
      <c r="AP78" s="6"/>
      <c r="AQ78" s="6"/>
      <c r="AR78" s="6"/>
      <c r="AS78" s="6"/>
      <c r="AT78" s="6"/>
      <c r="AU78" s="6"/>
      <c r="AV78" s="6"/>
      <c r="AW78" s="6"/>
      <c r="AX78" s="30" t="s">
        <v>23</v>
      </c>
      <c r="AY78" s="30" t="s">
        <v>23</v>
      </c>
      <c r="AZ78" s="30" t="s">
        <v>23</v>
      </c>
      <c r="BA78" s="30" t="s">
        <v>23</v>
      </c>
      <c r="BB78" s="30" t="s">
        <v>23</v>
      </c>
      <c r="BC78" s="30" t="s">
        <v>23</v>
      </c>
      <c r="BD78" s="30" t="s">
        <v>23</v>
      </c>
      <c r="BE78" s="30" t="s">
        <v>23</v>
      </c>
      <c r="BF78" s="24" t="s">
        <v>23</v>
      </c>
      <c r="BG78" s="24" t="s">
        <v>23</v>
      </c>
      <c r="BH78" s="24" t="s">
        <v>23</v>
      </c>
      <c r="BI78" s="24" t="s">
        <v>23</v>
      </c>
      <c r="BJ78" s="6">
        <v>-2432</v>
      </c>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row>
    <row r="79" spans="2:99" x14ac:dyDescent="0.25">
      <c r="B79" s="10" t="s">
        <v>50</v>
      </c>
      <c r="C79" s="14"/>
      <c r="D79" s="14"/>
      <c r="E79" s="14"/>
      <c r="F79" s="14"/>
      <c r="G79" s="14"/>
      <c r="H79" s="14"/>
      <c r="I79" s="14"/>
      <c r="J79" s="14"/>
      <c r="K79" s="14"/>
      <c r="L79" s="14"/>
      <c r="M79" s="14"/>
      <c r="N79" s="14" t="s">
        <v>23</v>
      </c>
      <c r="O79" s="6">
        <v>-372</v>
      </c>
      <c r="P79" s="6"/>
      <c r="Q79" s="6"/>
      <c r="R79" s="14" t="s">
        <v>23</v>
      </c>
      <c r="S79" s="6">
        <v>-259</v>
      </c>
      <c r="T79" s="6"/>
      <c r="U79" s="6"/>
      <c r="V79" s="6">
        <v>-853</v>
      </c>
      <c r="W79" s="6">
        <v>-363</v>
      </c>
      <c r="X79" s="6"/>
      <c r="Y79" s="6"/>
      <c r="Z79" s="6">
        <v>-444</v>
      </c>
      <c r="AA79" s="6">
        <v>-83</v>
      </c>
      <c r="AB79" s="6">
        <v>-38</v>
      </c>
      <c r="AC79" s="6">
        <f t="shared" si="292"/>
        <v>-64</v>
      </c>
      <c r="AD79" s="6">
        <v>-72</v>
      </c>
      <c r="AE79" s="6">
        <v>-57</v>
      </c>
      <c r="AF79" s="6">
        <v>-132</v>
      </c>
      <c r="AG79" s="6">
        <f t="shared" si="293"/>
        <v>-9</v>
      </c>
      <c r="AH79" s="14" t="s">
        <v>23</v>
      </c>
      <c r="AI79" s="6">
        <v>-61</v>
      </c>
      <c r="AJ79" s="6">
        <v>-754</v>
      </c>
      <c r="AK79" s="6">
        <v>-3415</v>
      </c>
      <c r="AL79" s="6">
        <v>-372</v>
      </c>
      <c r="AM79" s="6"/>
      <c r="AN79" s="6"/>
      <c r="AO79" s="6"/>
      <c r="AP79" s="6"/>
      <c r="AQ79" s="6"/>
      <c r="AR79" s="6"/>
      <c r="AS79" s="6"/>
      <c r="AT79" s="6"/>
      <c r="AU79" s="6"/>
      <c r="AV79" s="6"/>
      <c r="AW79" s="6"/>
      <c r="AX79" s="6">
        <v>-368</v>
      </c>
      <c r="AY79" s="6">
        <v>-4975</v>
      </c>
      <c r="AZ79" s="6">
        <v>-313</v>
      </c>
      <c r="BA79" s="6">
        <v>-123</v>
      </c>
      <c r="BB79" s="6">
        <v>-122</v>
      </c>
      <c r="BC79" s="6">
        <v>-137</v>
      </c>
      <c r="BD79" s="6">
        <v>-508</v>
      </c>
      <c r="BE79" s="6">
        <v>-388</v>
      </c>
      <c r="BF79" s="6">
        <v>-851</v>
      </c>
      <c r="BG79" s="6">
        <v>-1312</v>
      </c>
      <c r="BH79" s="6">
        <v>-629</v>
      </c>
      <c r="BI79" s="6">
        <v>-270</v>
      </c>
      <c r="BJ79" s="6">
        <v>-4231</v>
      </c>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row>
    <row r="80" spans="2:99" x14ac:dyDescent="0.25">
      <c r="B80" s="10" t="s">
        <v>49</v>
      </c>
      <c r="C80" s="6"/>
      <c r="D80" s="6"/>
      <c r="E80" s="6"/>
      <c r="F80" s="6"/>
      <c r="G80" s="6"/>
      <c r="H80" s="6"/>
      <c r="I80" s="6"/>
      <c r="J80" s="6"/>
      <c r="K80" s="6"/>
      <c r="L80" s="6"/>
      <c r="M80" s="6"/>
      <c r="N80" s="6">
        <v>-75</v>
      </c>
      <c r="O80" s="6">
        <v>-213</v>
      </c>
      <c r="P80" s="6"/>
      <c r="Q80" s="6"/>
      <c r="R80" s="6">
        <v>-2</v>
      </c>
      <c r="S80" s="6">
        <v>-60</v>
      </c>
      <c r="T80" s="6"/>
      <c r="U80" s="6"/>
      <c r="V80" s="6">
        <v>-10</v>
      </c>
      <c r="W80" s="6">
        <v>-7</v>
      </c>
      <c r="X80" s="6"/>
      <c r="Y80" s="6"/>
      <c r="Z80" s="6">
        <v>75</v>
      </c>
      <c r="AA80" s="6">
        <v>-85</v>
      </c>
      <c r="AB80" s="6">
        <v>-10</v>
      </c>
      <c r="AC80" s="6">
        <f t="shared" si="292"/>
        <v>-3</v>
      </c>
      <c r="AD80" s="6" t="s">
        <v>23</v>
      </c>
      <c r="AE80" s="6">
        <v>-12</v>
      </c>
      <c r="AF80" s="6">
        <v>124</v>
      </c>
      <c r="AG80" s="6">
        <f t="shared" si="293"/>
        <v>17</v>
      </c>
      <c r="AH80" s="6">
        <v>-90</v>
      </c>
      <c r="AI80" s="6">
        <v>3</v>
      </c>
      <c r="AJ80" s="6">
        <v>39</v>
      </c>
      <c r="AK80" s="6">
        <f>229-70+2554</f>
        <v>2713</v>
      </c>
      <c r="AL80" s="6">
        <v>155</v>
      </c>
      <c r="AM80" s="6"/>
      <c r="AN80" s="6"/>
      <c r="AO80" s="6"/>
      <c r="AP80" s="6"/>
      <c r="AQ80" s="6"/>
      <c r="AR80" s="6"/>
      <c r="AS80" s="6"/>
      <c r="AT80" s="6"/>
      <c r="AU80" s="6"/>
      <c r="AV80" s="6"/>
      <c r="AW80" s="6"/>
      <c r="AX80" s="6">
        <f>-11-1</f>
        <v>-12</v>
      </c>
      <c r="AY80" s="6">
        <f>-348-2</f>
        <v>-350</v>
      </c>
      <c r="AZ80" s="6">
        <v>102</v>
      </c>
      <c r="BA80" s="6">
        <v>61</v>
      </c>
      <c r="BB80" s="6">
        <v>67</v>
      </c>
      <c r="BC80" s="30" t="s">
        <v>23</v>
      </c>
      <c r="BD80" s="30" t="s">
        <v>23</v>
      </c>
      <c r="BE80" s="6">
        <v>-36</v>
      </c>
      <c r="BF80" s="6">
        <v>-331</v>
      </c>
      <c r="BG80" s="6">
        <v>-4</v>
      </c>
      <c r="BH80" s="6">
        <v>-23</v>
      </c>
      <c r="BI80" s="6">
        <v>129</v>
      </c>
      <c r="BJ80" s="6">
        <f>-18330+182+2554</f>
        <v>-15594</v>
      </c>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row>
    <row r="81" spans="2:99" x14ac:dyDescent="0.25">
      <c r="B81" s="10" t="s">
        <v>48</v>
      </c>
      <c r="C81" s="6"/>
      <c r="D81" s="6"/>
      <c r="E81" s="6"/>
      <c r="F81" s="6"/>
      <c r="G81" s="6"/>
      <c r="H81" s="6"/>
      <c r="I81" s="6"/>
      <c r="J81" s="6"/>
      <c r="K81" s="6"/>
      <c r="L81" s="6"/>
      <c r="M81" s="6"/>
      <c r="N81" s="6">
        <f>SUM(N73:N80)</f>
        <v>-4109</v>
      </c>
      <c r="O81" s="6">
        <f>SUM(O73:O80)</f>
        <v>-4178</v>
      </c>
      <c r="P81" s="6"/>
      <c r="Q81" s="6"/>
      <c r="R81" s="6">
        <f>SUM(R73:R80)</f>
        <v>-4874</v>
      </c>
      <c r="S81" s="6">
        <f>SUM(S73:S80)</f>
        <v>-8195</v>
      </c>
      <c r="T81" s="6"/>
      <c r="U81" s="6"/>
      <c r="V81" s="6">
        <f>SUM(V73:V80)</f>
        <v>-4779</v>
      </c>
      <c r="W81" s="6">
        <f>SUM(W73:W80)</f>
        <v>-6959</v>
      </c>
      <c r="X81" s="6"/>
      <c r="Y81" s="6"/>
      <c r="Z81" s="6">
        <f t="shared" ref="Z81:AL81" si="294">SUM(Z73:Z80)</f>
        <v>-6743</v>
      </c>
      <c r="AA81" s="6">
        <f t="shared" si="294"/>
        <v>-5203</v>
      </c>
      <c r="AB81" s="6">
        <f t="shared" si="294"/>
        <v>-6077</v>
      </c>
      <c r="AC81" s="6">
        <f t="shared" si="294"/>
        <v>-6472</v>
      </c>
      <c r="AD81" s="6">
        <f t="shared" si="294"/>
        <v>-8734</v>
      </c>
      <c r="AE81" s="6">
        <f t="shared" si="294"/>
        <v>-8298</v>
      </c>
      <c r="AF81" s="6">
        <f t="shared" si="294"/>
        <v>-8620</v>
      </c>
      <c r="AG81" s="6">
        <f t="shared" si="294"/>
        <v>-21498</v>
      </c>
      <c r="AH81" s="6">
        <f t="shared" si="294"/>
        <v>-20010</v>
      </c>
      <c r="AI81" s="6">
        <f t="shared" si="294"/>
        <v>-25958</v>
      </c>
      <c r="AJ81" s="6">
        <f t="shared" si="294"/>
        <v>-21848</v>
      </c>
      <c r="AK81" s="6">
        <f t="shared" si="294"/>
        <v>-34187</v>
      </c>
      <c r="AL81" s="6">
        <f t="shared" si="294"/>
        <v>-33678</v>
      </c>
      <c r="AM81" s="6"/>
      <c r="AN81" s="6"/>
      <c r="AO81" s="6"/>
      <c r="AP81" s="6"/>
      <c r="AQ81" s="6"/>
      <c r="AR81" s="6"/>
      <c r="AS81" s="6"/>
      <c r="AT81" s="6"/>
      <c r="AU81" s="6"/>
      <c r="AV81" s="6"/>
      <c r="AW81" s="6"/>
      <c r="AX81" s="6">
        <f t="shared" ref="AX81:BJ81" si="295">SUM(AX73:AX80)</f>
        <v>-2624</v>
      </c>
      <c r="AY81" s="6">
        <f t="shared" si="295"/>
        <v>-5913</v>
      </c>
      <c r="AZ81" s="6">
        <f t="shared" si="295"/>
        <v>-9434</v>
      </c>
      <c r="BA81" s="6">
        <f t="shared" si="295"/>
        <v>-11739</v>
      </c>
      <c r="BB81" s="6">
        <f t="shared" si="295"/>
        <v>-20038</v>
      </c>
      <c r="BC81" s="6">
        <f t="shared" si="295"/>
        <v>-11603</v>
      </c>
      <c r="BD81" s="6">
        <f t="shared" si="295"/>
        <v>-19864</v>
      </c>
      <c r="BE81" s="6">
        <f t="shared" si="295"/>
        <v>-30059</v>
      </c>
      <c r="BF81" s="6">
        <f t="shared" si="295"/>
        <v>-7570</v>
      </c>
      <c r="BG81" s="6">
        <f t="shared" si="295"/>
        <v>-28970</v>
      </c>
      <c r="BH81" s="6">
        <f t="shared" si="295"/>
        <v>-24495</v>
      </c>
      <c r="BI81" s="6">
        <f t="shared" si="295"/>
        <v>-47150</v>
      </c>
      <c r="BJ81" s="6">
        <f t="shared" si="295"/>
        <v>-102003</v>
      </c>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row>
    <row r="82" spans="2:99" x14ac:dyDescent="0.25">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row>
    <row r="83" spans="2:99" x14ac:dyDescent="0.25">
      <c r="B83" s="10" t="s">
        <v>58</v>
      </c>
      <c r="C83" s="6"/>
      <c r="D83" s="6"/>
      <c r="E83" s="6"/>
      <c r="F83" s="6"/>
      <c r="G83" s="6"/>
      <c r="H83" s="6"/>
      <c r="I83" s="6"/>
      <c r="J83" s="6"/>
      <c r="K83" s="6"/>
      <c r="L83" s="6"/>
      <c r="M83" s="6"/>
      <c r="N83" s="6">
        <v>-690</v>
      </c>
      <c r="O83" s="6">
        <v>-754</v>
      </c>
      <c r="P83" s="6"/>
      <c r="Q83" s="6"/>
      <c r="R83" s="6">
        <v>-1077</v>
      </c>
      <c r="S83" s="6">
        <v>-1355</v>
      </c>
      <c r="T83" s="6"/>
      <c r="U83" s="6"/>
      <c r="V83" s="6">
        <v>-925</v>
      </c>
      <c r="W83" s="6">
        <v>-1002</v>
      </c>
      <c r="X83" s="6"/>
      <c r="Y83" s="6"/>
      <c r="Z83" s="6">
        <v>-1009</v>
      </c>
      <c r="AA83" s="6">
        <v>-1692</v>
      </c>
      <c r="AB83" s="6">
        <v>-2088</v>
      </c>
      <c r="AC83" s="6">
        <f t="shared" ref="AC83:AC88" si="296">+SUM(BH83)-SUM(Z83:AB83)</f>
        <v>-2223</v>
      </c>
      <c r="AD83" s="6">
        <v>-3162</v>
      </c>
      <c r="AE83" s="6">
        <v>-3208</v>
      </c>
      <c r="AF83" s="6">
        <v>-3543</v>
      </c>
      <c r="AG83" s="6">
        <f t="shared" ref="AG83:AG88" si="297">+SUM(BI83)-SUM(AD83:AF83)</f>
        <v>-3857</v>
      </c>
      <c r="AH83" s="6">
        <v>-4883</v>
      </c>
      <c r="AI83" s="6">
        <v>-4110</v>
      </c>
      <c r="AJ83" s="6">
        <v>-5135</v>
      </c>
      <c r="AK83" s="6">
        <v>-4272</v>
      </c>
      <c r="AL83" s="6">
        <v>-4423</v>
      </c>
      <c r="AM83" s="6"/>
      <c r="AN83" s="6"/>
      <c r="AO83" s="6"/>
      <c r="AP83" s="6"/>
      <c r="AQ83" s="6"/>
      <c r="AR83" s="6"/>
      <c r="AS83" s="6"/>
      <c r="AT83" s="6"/>
      <c r="AU83" s="6"/>
      <c r="AV83" s="6"/>
      <c r="AW83" s="6"/>
      <c r="AX83" s="6">
        <v>-889</v>
      </c>
      <c r="AY83" s="6">
        <v>-73</v>
      </c>
      <c r="AZ83" s="6">
        <v>-20</v>
      </c>
      <c r="BA83" s="6">
        <v>-6</v>
      </c>
      <c r="BB83" s="6">
        <v>-3246</v>
      </c>
      <c r="BC83" s="6">
        <v>-3208</v>
      </c>
      <c r="BD83" s="6">
        <v>-2337</v>
      </c>
      <c r="BE83" s="6">
        <v>-3564</v>
      </c>
      <c r="BF83" s="6">
        <v>-5515</v>
      </c>
      <c r="BG83" s="6">
        <v>-3595</v>
      </c>
      <c r="BH83" s="6">
        <v>-7012</v>
      </c>
      <c r="BI83" s="6">
        <v>-13770</v>
      </c>
      <c r="BJ83" s="6">
        <v>-18400</v>
      </c>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row>
    <row r="84" spans="2:99" x14ac:dyDescent="0.25">
      <c r="B84" s="10" t="s">
        <v>59</v>
      </c>
      <c r="C84" s="6"/>
      <c r="D84" s="6"/>
      <c r="E84" s="6"/>
      <c r="F84" s="6"/>
      <c r="G84" s="6"/>
      <c r="H84" s="6"/>
      <c r="I84" s="6"/>
      <c r="J84" s="6"/>
      <c r="K84" s="6"/>
      <c r="L84" s="6"/>
      <c r="M84" s="6"/>
      <c r="N84" s="6">
        <v>-1250</v>
      </c>
      <c r="O84" s="6">
        <v>-1368</v>
      </c>
      <c r="P84" s="6"/>
      <c r="Q84" s="6"/>
      <c r="R84" s="6">
        <v>-3939</v>
      </c>
      <c r="S84" s="6">
        <v>-7079</v>
      </c>
      <c r="T84" s="6"/>
      <c r="U84" s="6"/>
      <c r="V84" s="6">
        <v>-9506</v>
      </c>
      <c r="W84" s="6">
        <v>-5233</v>
      </c>
      <c r="X84" s="6"/>
      <c r="Y84" s="6"/>
      <c r="Z84" s="6">
        <v>-9365</v>
      </c>
      <c r="AA84" s="6">
        <v>-898</v>
      </c>
      <c r="AB84" s="6">
        <v>-3569</v>
      </c>
      <c r="AC84" s="6">
        <f t="shared" si="296"/>
        <v>-5942</v>
      </c>
      <c r="AD84" s="6">
        <v>-15008</v>
      </c>
      <c r="AE84" s="6">
        <v>-6299</v>
      </c>
      <c r="AF84" s="6">
        <v>-8818</v>
      </c>
      <c r="AG84" s="6">
        <f t="shared" si="297"/>
        <v>0</v>
      </c>
      <c r="AH84" s="6">
        <v>-12754</v>
      </c>
      <c r="AI84" s="6">
        <v>-10167</v>
      </c>
      <c r="AJ84" s="6">
        <v>-3327</v>
      </c>
      <c r="AK84" s="6">
        <v>0</v>
      </c>
      <c r="AL84" s="30" t="s">
        <v>23</v>
      </c>
      <c r="AM84" s="6"/>
      <c r="AN84" s="6"/>
      <c r="AO84" s="6"/>
      <c r="AP84" s="6"/>
      <c r="AQ84" s="6"/>
      <c r="AR84" s="6"/>
      <c r="AS84" s="6"/>
      <c r="AT84" s="6"/>
      <c r="AU84" s="6"/>
      <c r="AV84" s="6"/>
      <c r="AW84" s="6"/>
      <c r="AX84" s="6">
        <v>1478</v>
      </c>
      <c r="AY84" s="30" t="s">
        <v>23</v>
      </c>
      <c r="AZ84" s="30" t="s">
        <v>23</v>
      </c>
      <c r="BA84" s="30" t="s">
        <v>23</v>
      </c>
      <c r="BB84" s="6">
        <v>-1976</v>
      </c>
      <c r="BC84" s="6">
        <v>-12879</v>
      </c>
      <c r="BD84" s="6">
        <v>-4202</v>
      </c>
      <c r="BE84" s="6">
        <v>-6272</v>
      </c>
      <c r="BF84" s="6">
        <v>-44537</v>
      </c>
      <c r="BG84" s="6">
        <v>-27956</v>
      </c>
      <c r="BH84" s="6">
        <v>-19774</v>
      </c>
      <c r="BI84" s="6">
        <v>-30125</v>
      </c>
      <c r="BJ84" s="6">
        <v>-26248</v>
      </c>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row>
    <row r="85" spans="2:99" x14ac:dyDescent="0.25">
      <c r="B85" s="10" t="s">
        <v>60</v>
      </c>
      <c r="C85" s="6"/>
      <c r="D85" s="6"/>
      <c r="E85" s="6"/>
      <c r="F85" s="6"/>
      <c r="G85" s="6"/>
      <c r="H85" s="6"/>
      <c r="I85" s="6"/>
      <c r="J85" s="6"/>
      <c r="K85" s="6"/>
      <c r="L85" s="6"/>
      <c r="M85" s="6"/>
      <c r="N85" s="6" t="s">
        <v>23</v>
      </c>
      <c r="O85" s="6">
        <v>0</v>
      </c>
      <c r="P85" s="6"/>
      <c r="Q85" s="6"/>
      <c r="R85" s="6" t="s">
        <v>23</v>
      </c>
      <c r="S85" s="6">
        <v>0</v>
      </c>
      <c r="T85" s="6"/>
      <c r="U85" s="6"/>
      <c r="V85" s="6" t="s">
        <v>23</v>
      </c>
      <c r="W85" s="6" t="s">
        <v>23</v>
      </c>
      <c r="X85" s="6"/>
      <c r="Y85" s="6"/>
      <c r="Z85" s="6" t="s">
        <v>23</v>
      </c>
      <c r="AA85" s="6" t="s">
        <v>23</v>
      </c>
      <c r="AB85" s="6">
        <v>0</v>
      </c>
      <c r="AC85" s="6">
        <f t="shared" si="296"/>
        <v>0</v>
      </c>
      <c r="AD85" s="6">
        <v>-1273</v>
      </c>
      <c r="AE85" s="6">
        <v>-1266</v>
      </c>
      <c r="AF85" s="6">
        <v>-1263</v>
      </c>
      <c r="AG85" s="6">
        <f t="shared" si="297"/>
        <v>-1270</v>
      </c>
      <c r="AH85" s="6">
        <v>-1329</v>
      </c>
      <c r="AI85" s="6">
        <v>-1327</v>
      </c>
      <c r="AJ85" s="6">
        <v>-1330</v>
      </c>
      <c r="AK85" s="6">
        <v>-1338</v>
      </c>
      <c r="AL85" s="6">
        <v>-1346</v>
      </c>
      <c r="AM85" s="6"/>
      <c r="AN85" s="6"/>
      <c r="AO85" s="6"/>
      <c r="AP85" s="6"/>
      <c r="AQ85" s="6"/>
      <c r="AR85" s="6"/>
      <c r="AS85" s="6"/>
      <c r="AT85" s="6"/>
      <c r="AU85" s="6"/>
      <c r="AV85" s="6"/>
      <c r="AW85" s="6"/>
      <c r="AX85" s="30" t="s">
        <v>23</v>
      </c>
      <c r="AY85" s="30" t="s">
        <v>23</v>
      </c>
      <c r="AZ85" s="30" t="s">
        <v>23</v>
      </c>
      <c r="BA85" s="30" t="s">
        <v>23</v>
      </c>
      <c r="BB85" s="30" t="s">
        <v>23</v>
      </c>
      <c r="BC85" s="30" t="s">
        <v>23</v>
      </c>
      <c r="BD85" s="6">
        <v>0</v>
      </c>
      <c r="BE85" s="6">
        <v>0</v>
      </c>
      <c r="BF85" s="6">
        <v>0</v>
      </c>
      <c r="BG85" s="6">
        <v>0</v>
      </c>
      <c r="BH85" s="6">
        <v>0</v>
      </c>
      <c r="BI85" s="6">
        <v>-5072</v>
      </c>
      <c r="BJ85" s="6">
        <v>-5324</v>
      </c>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row>
    <row r="86" spans="2:99" x14ac:dyDescent="0.25">
      <c r="B86" s="10" t="s">
        <v>61</v>
      </c>
      <c r="C86" s="6"/>
      <c r="D86" s="6"/>
      <c r="E86" s="6"/>
      <c r="F86" s="6"/>
      <c r="G86" s="6"/>
      <c r="H86" s="6"/>
      <c r="I86" s="6"/>
      <c r="J86" s="6"/>
      <c r="K86" s="6"/>
      <c r="L86" s="6"/>
      <c r="M86" s="6"/>
      <c r="N86" s="6" t="s">
        <v>23</v>
      </c>
      <c r="O86" s="6">
        <v>0</v>
      </c>
      <c r="P86" s="6"/>
      <c r="Q86" s="6"/>
      <c r="R86" s="6" t="s">
        <v>23</v>
      </c>
      <c r="S86" s="6">
        <v>0</v>
      </c>
      <c r="T86" s="6"/>
      <c r="U86" s="6"/>
      <c r="V86" s="6" t="s">
        <v>23</v>
      </c>
      <c r="W86" s="6" t="s">
        <v>23</v>
      </c>
      <c r="X86" s="6"/>
      <c r="Y86" s="6"/>
      <c r="Z86" s="6" t="s">
        <v>23</v>
      </c>
      <c r="AA86" s="6">
        <v>8455</v>
      </c>
      <c r="AB86" s="6">
        <v>0</v>
      </c>
      <c r="AC86" s="6">
        <f t="shared" si="296"/>
        <v>0</v>
      </c>
      <c r="AD86" s="6" t="s">
        <v>23</v>
      </c>
      <c r="AE86" s="6">
        <v>0</v>
      </c>
      <c r="AF86" s="6">
        <v>10432</v>
      </c>
      <c r="AG86" s="6">
        <f t="shared" si="297"/>
        <v>0</v>
      </c>
      <c r="AH86" s="6" t="s">
        <v>23</v>
      </c>
      <c r="AI86" s="6">
        <v>-474</v>
      </c>
      <c r="AJ86" s="6">
        <v>474</v>
      </c>
      <c r="AK86" s="24">
        <v>29906</v>
      </c>
      <c r="AL86" s="30" t="s">
        <v>23</v>
      </c>
      <c r="AM86" s="6"/>
      <c r="AN86" s="6"/>
      <c r="AO86" s="6"/>
      <c r="AP86" s="6"/>
      <c r="AQ86" s="6"/>
      <c r="AR86" s="6"/>
      <c r="AS86" s="6"/>
      <c r="AT86" s="6"/>
      <c r="AU86" s="6"/>
      <c r="AV86" s="6"/>
      <c r="AW86" s="6"/>
      <c r="AX86" s="30" t="s">
        <v>23</v>
      </c>
      <c r="AY86" s="30" t="s">
        <v>23</v>
      </c>
      <c r="AZ86" s="30" t="s">
        <v>23</v>
      </c>
      <c r="BA86" s="30" t="s">
        <v>23</v>
      </c>
      <c r="BB86" s="30" t="s">
        <v>23</v>
      </c>
      <c r="BC86" s="30" t="s">
        <v>23</v>
      </c>
      <c r="BD86" s="30" t="s">
        <v>23</v>
      </c>
      <c r="BE86" s="30" t="s">
        <v>23</v>
      </c>
      <c r="BF86" s="6" t="s">
        <v>23</v>
      </c>
      <c r="BG86" s="6">
        <v>9921</v>
      </c>
      <c r="BH86" s="6">
        <v>8455</v>
      </c>
      <c r="BI86" s="6">
        <v>10432</v>
      </c>
      <c r="BJ86" s="6">
        <v>29906</v>
      </c>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row>
    <row r="87" spans="2:99" x14ac:dyDescent="0.25">
      <c r="B87" s="10" t="s">
        <v>62</v>
      </c>
      <c r="C87" s="6"/>
      <c r="D87" s="6"/>
      <c r="E87" s="6"/>
      <c r="F87" s="6"/>
      <c r="G87" s="6"/>
      <c r="H87" s="6"/>
      <c r="I87" s="6"/>
      <c r="J87" s="6"/>
      <c r="K87" s="6"/>
      <c r="L87" s="6"/>
      <c r="M87" s="6"/>
      <c r="N87" s="6">
        <v>-100</v>
      </c>
      <c r="O87" s="6">
        <v>-109</v>
      </c>
      <c r="P87" s="6"/>
      <c r="Q87" s="6"/>
      <c r="R87" s="6">
        <v>-151</v>
      </c>
      <c r="S87" s="6">
        <v>-123</v>
      </c>
      <c r="T87" s="6"/>
      <c r="U87" s="6"/>
      <c r="V87" s="6">
        <v>-233</v>
      </c>
      <c r="W87" s="6">
        <v>-219</v>
      </c>
      <c r="X87" s="6"/>
      <c r="Y87" s="6"/>
      <c r="Z87" s="6">
        <v>-264</v>
      </c>
      <c r="AA87" s="6">
        <v>-220</v>
      </c>
      <c r="AB87" s="6">
        <v>-267</v>
      </c>
      <c r="AC87" s="6">
        <f t="shared" si="296"/>
        <v>-307</v>
      </c>
      <c r="AD87" s="6">
        <v>-315</v>
      </c>
      <c r="AE87" s="6">
        <v>-299</v>
      </c>
      <c r="AF87" s="6">
        <v>-944</v>
      </c>
      <c r="AG87" s="6">
        <f t="shared" si="297"/>
        <v>-411</v>
      </c>
      <c r="AH87" s="6">
        <v>-751</v>
      </c>
      <c r="AI87" s="6">
        <v>101</v>
      </c>
      <c r="AJ87" s="6">
        <v>-1120</v>
      </c>
      <c r="AK87" s="6">
        <v>-754</v>
      </c>
      <c r="AL87" s="6">
        <v>-843</v>
      </c>
      <c r="AM87" s="6"/>
      <c r="AN87" s="6"/>
      <c r="AO87" s="6"/>
      <c r="AP87" s="6"/>
      <c r="AQ87" s="6"/>
      <c r="AR87" s="6"/>
      <c r="AS87" s="6"/>
      <c r="AT87" s="6"/>
      <c r="AU87" s="6"/>
      <c r="AV87" s="6"/>
      <c r="AW87" s="6"/>
      <c r="AX87" s="6">
        <v>-391</v>
      </c>
      <c r="AY87" s="6">
        <v>-243</v>
      </c>
      <c r="AZ87" s="6">
        <v>-119</v>
      </c>
      <c r="BA87" s="6">
        <v>-312</v>
      </c>
      <c r="BB87" s="30" t="s">
        <v>23</v>
      </c>
      <c r="BC87" s="30" t="s">
        <v>23</v>
      </c>
      <c r="BD87" s="6">
        <v>-552</v>
      </c>
      <c r="BE87" s="6">
        <v>-604</v>
      </c>
      <c r="BF87" s="6">
        <v>-677</v>
      </c>
      <c r="BG87" s="6">
        <v>-850</v>
      </c>
      <c r="BH87" s="6">
        <v>-1058</v>
      </c>
      <c r="BI87" s="6">
        <v>-1969</v>
      </c>
      <c r="BJ87" s="6">
        <v>-2524</v>
      </c>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row>
    <row r="88" spans="2:99" x14ac:dyDescent="0.25">
      <c r="B88" s="10" t="s">
        <v>49</v>
      </c>
      <c r="C88" s="6"/>
      <c r="D88" s="6"/>
      <c r="E88" s="6"/>
      <c r="F88" s="6"/>
      <c r="G88" s="6"/>
      <c r="H88" s="6"/>
      <c r="I88" s="6"/>
      <c r="J88" s="6"/>
      <c r="K88" s="6"/>
      <c r="L88" s="6"/>
      <c r="M88" s="6"/>
      <c r="N88" s="6">
        <f>-80+98</f>
        <v>18</v>
      </c>
      <c r="O88" s="6">
        <v>79</v>
      </c>
      <c r="P88" s="6"/>
      <c r="Q88" s="6"/>
      <c r="R88" s="6">
        <f>-50+32</f>
        <v>-18</v>
      </c>
      <c r="S88" s="6">
        <v>8</v>
      </c>
      <c r="T88" s="6"/>
      <c r="U88" s="6"/>
      <c r="V88" s="6">
        <v>4</v>
      </c>
      <c r="W88" s="6">
        <v>-109</v>
      </c>
      <c r="X88" s="6"/>
      <c r="Y88" s="6"/>
      <c r="Z88" s="6">
        <v>122</v>
      </c>
      <c r="AA88" s="6">
        <v>-353</v>
      </c>
      <c r="AB88" s="6">
        <v>49</v>
      </c>
      <c r="AC88" s="6">
        <f t="shared" si="296"/>
        <v>71</v>
      </c>
      <c r="AD88" s="6">
        <v>-9</v>
      </c>
      <c r="AE88" s="6">
        <v>-106</v>
      </c>
      <c r="AF88" s="6">
        <v>-235</v>
      </c>
      <c r="AG88" s="6">
        <f t="shared" si="297"/>
        <v>73</v>
      </c>
      <c r="AH88" s="6">
        <v>222</v>
      </c>
      <c r="AI88" s="24" t="s">
        <v>23</v>
      </c>
      <c r="AJ88" s="6">
        <v>391</v>
      </c>
      <c r="AK88" s="6">
        <v>1607</v>
      </c>
      <c r="AL88" s="6">
        <v>59</v>
      </c>
      <c r="AM88" s="6"/>
      <c r="AN88" s="6"/>
      <c r="AO88" s="6"/>
      <c r="AP88" s="6"/>
      <c r="AQ88" s="6"/>
      <c r="AR88" s="6"/>
      <c r="AS88" s="6"/>
      <c r="AT88" s="6"/>
      <c r="AU88" s="6"/>
      <c r="AV88" s="6"/>
      <c r="AW88" s="6"/>
      <c r="AX88" s="6">
        <f>609+26-1500</f>
        <v>-865</v>
      </c>
      <c r="AY88" s="6">
        <f>1869+18</f>
        <v>1887</v>
      </c>
      <c r="AZ88" s="30" t="s">
        <v>23</v>
      </c>
      <c r="BA88" s="6">
        <v>8</v>
      </c>
      <c r="BB88" s="6">
        <v>-13</v>
      </c>
      <c r="BC88" s="6">
        <f>500+15</f>
        <v>515</v>
      </c>
      <c r="BD88" s="6">
        <f>-223+15</f>
        <v>-208</v>
      </c>
      <c r="BE88" s="6">
        <f>24+124</f>
        <v>148</v>
      </c>
      <c r="BF88" s="6">
        <v>1</v>
      </c>
      <c r="BG88" s="6">
        <v>344</v>
      </c>
      <c r="BH88" s="6">
        <v>-111</v>
      </c>
      <c r="BI88" s="6">
        <v>-277</v>
      </c>
      <c r="BJ88" s="6">
        <v>2220</v>
      </c>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row>
    <row r="89" spans="2:99" x14ac:dyDescent="0.25">
      <c r="B89" s="10" t="s">
        <v>53</v>
      </c>
      <c r="C89" s="6"/>
      <c r="D89" s="6"/>
      <c r="E89" s="6"/>
      <c r="F89" s="6"/>
      <c r="G89" s="6"/>
      <c r="H89" s="6"/>
      <c r="I89" s="6"/>
      <c r="J89" s="6"/>
      <c r="K89" s="6"/>
      <c r="L89" s="6"/>
      <c r="M89" s="6"/>
      <c r="N89" s="6">
        <f>SUM(N83:N88)</f>
        <v>-2022</v>
      </c>
      <c r="O89" s="6">
        <f>SUM(O83:O88)</f>
        <v>-2152</v>
      </c>
      <c r="P89" s="6"/>
      <c r="Q89" s="6"/>
      <c r="R89" s="6">
        <f>SUM(R83:R88)</f>
        <v>-5185</v>
      </c>
      <c r="S89" s="6">
        <f>SUM(S83:S88)</f>
        <v>-8549</v>
      </c>
      <c r="T89" s="6"/>
      <c r="U89" s="6"/>
      <c r="V89" s="6">
        <f>SUM(V83:V88)</f>
        <v>-10660</v>
      </c>
      <c r="W89" s="6">
        <f>SUM(W83:W88)</f>
        <v>-6563</v>
      </c>
      <c r="X89" s="6"/>
      <c r="Y89" s="6"/>
      <c r="Z89" s="6">
        <f t="shared" ref="Z89:AJ89" si="298">SUM(Z83:Z88)</f>
        <v>-10516</v>
      </c>
      <c r="AA89" s="6">
        <f t="shared" si="298"/>
        <v>5292</v>
      </c>
      <c r="AB89" s="6">
        <f t="shared" si="298"/>
        <v>-5875</v>
      </c>
      <c r="AC89" s="6">
        <f t="shared" si="298"/>
        <v>-8401</v>
      </c>
      <c r="AD89" s="6">
        <f t="shared" si="298"/>
        <v>-19767</v>
      </c>
      <c r="AE89" s="6">
        <f t="shared" si="298"/>
        <v>-11178</v>
      </c>
      <c r="AF89" s="6">
        <f t="shared" si="298"/>
        <v>-4371</v>
      </c>
      <c r="AG89" s="6">
        <f t="shared" si="298"/>
        <v>-5465</v>
      </c>
      <c r="AH89" s="6">
        <f t="shared" si="298"/>
        <v>-19495</v>
      </c>
      <c r="AI89" s="6">
        <f t="shared" si="298"/>
        <v>-15977</v>
      </c>
      <c r="AJ89" s="6">
        <f t="shared" si="298"/>
        <v>-10047</v>
      </c>
      <c r="AK89" s="6">
        <f>SUM(AK83:AK88)</f>
        <v>25149</v>
      </c>
      <c r="AL89" s="6">
        <f>SUM(AL83:AL88)</f>
        <v>-6553</v>
      </c>
      <c r="AM89" s="6"/>
      <c r="AN89" s="6"/>
      <c r="AO89" s="6"/>
      <c r="AP89" s="6"/>
      <c r="AQ89" s="6"/>
      <c r="AR89" s="6"/>
      <c r="AS89" s="6"/>
      <c r="AT89" s="6"/>
      <c r="AU89" s="6"/>
      <c r="AV89" s="6"/>
      <c r="AW89" s="6"/>
      <c r="AX89" s="6">
        <f t="shared" ref="AX89:BJ89" si="299">SUM(AX83:AX88)</f>
        <v>-667</v>
      </c>
      <c r="AY89" s="6">
        <f t="shared" si="299"/>
        <v>1571</v>
      </c>
      <c r="AZ89" s="6">
        <f t="shared" si="299"/>
        <v>-139</v>
      </c>
      <c r="BA89" s="6">
        <f t="shared" si="299"/>
        <v>-310</v>
      </c>
      <c r="BB89" s="6">
        <f t="shared" si="299"/>
        <v>-5235</v>
      </c>
      <c r="BC89" s="6">
        <f t="shared" si="299"/>
        <v>-15572</v>
      </c>
      <c r="BD89" s="6">
        <f t="shared" si="299"/>
        <v>-7299</v>
      </c>
      <c r="BE89" s="6">
        <f t="shared" si="299"/>
        <v>-10292</v>
      </c>
      <c r="BF89" s="6">
        <f t="shared" si="299"/>
        <v>-50728</v>
      </c>
      <c r="BG89" s="6">
        <f t="shared" si="299"/>
        <v>-22136</v>
      </c>
      <c r="BH89" s="6">
        <f t="shared" si="299"/>
        <v>-19500</v>
      </c>
      <c r="BI89" s="6">
        <f t="shared" si="299"/>
        <v>-40781</v>
      </c>
      <c r="BJ89" s="6">
        <f t="shared" si="299"/>
        <v>-20370</v>
      </c>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row>
    <row r="90" spans="2:99" x14ac:dyDescent="0.25">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row>
    <row r="91" spans="2:99" x14ac:dyDescent="0.25">
      <c r="B91" s="10" t="s">
        <v>54</v>
      </c>
      <c r="C91" s="6"/>
      <c r="D91" s="6"/>
      <c r="E91" s="6"/>
      <c r="F91" s="6"/>
      <c r="G91" s="6"/>
      <c r="H91" s="6"/>
      <c r="I91" s="6"/>
      <c r="J91" s="6"/>
      <c r="K91" s="6"/>
      <c r="L91" s="6"/>
      <c r="M91" s="6"/>
      <c r="N91" s="6">
        <v>-222</v>
      </c>
      <c r="O91" s="6">
        <f>-127-C91</f>
        <v>-127</v>
      </c>
      <c r="P91" s="6"/>
      <c r="Q91" s="6"/>
      <c r="R91" s="6">
        <v>-246</v>
      </c>
      <c r="S91" s="6">
        <f>-129-R91</f>
        <v>117</v>
      </c>
      <c r="T91" s="6"/>
      <c r="U91" s="6"/>
      <c r="V91" s="6">
        <v>-149</v>
      </c>
      <c r="W91" s="6">
        <v>-550</v>
      </c>
      <c r="X91" s="6"/>
      <c r="Y91" s="6"/>
      <c r="Z91" s="6">
        <v>85</v>
      </c>
      <c r="AA91" s="6">
        <f>71-SUM(Z91)</f>
        <v>-14</v>
      </c>
      <c r="AB91" s="6">
        <f>-283-AA91-Z91</f>
        <v>-354</v>
      </c>
      <c r="AC91" s="6">
        <f t="shared" ref="AC91" si="300">+SUM(BH91)-SUM(Z91:AB91)</f>
        <v>396</v>
      </c>
      <c r="AD91" s="6">
        <v>-288</v>
      </c>
      <c r="AE91" s="6">
        <f>-440-AD91</f>
        <v>-152</v>
      </c>
      <c r="AF91" s="6">
        <f>-72-AE91-AD91</f>
        <v>368</v>
      </c>
      <c r="AG91" s="6">
        <f t="shared" ref="AG91" si="301">+SUM(BI91)-SUM(AD91:AF91)</f>
        <v>-714</v>
      </c>
      <c r="AH91" s="6">
        <v>112</v>
      </c>
      <c r="AI91" s="6">
        <v>131</v>
      </c>
      <c r="AJ91" s="6">
        <v>9</v>
      </c>
      <c r="AK91" s="6">
        <v>-17</v>
      </c>
      <c r="AL91" s="6">
        <v>7</v>
      </c>
      <c r="AM91" s="6"/>
      <c r="AN91" s="6"/>
      <c r="AO91" s="6"/>
      <c r="AP91" s="6"/>
      <c r="AQ91" s="6"/>
      <c r="AR91" s="6"/>
      <c r="AS91" s="6"/>
      <c r="AT91" s="6"/>
      <c r="AU91" s="6"/>
      <c r="AV91" s="6"/>
      <c r="AW91" s="6"/>
      <c r="AX91" s="6">
        <v>8</v>
      </c>
      <c r="AY91" s="6">
        <v>-123</v>
      </c>
      <c r="AZ91" s="6">
        <v>-155</v>
      </c>
      <c r="BA91" s="6">
        <v>-63</v>
      </c>
      <c r="BB91" s="6">
        <v>233</v>
      </c>
      <c r="BC91" s="6">
        <v>-179</v>
      </c>
      <c r="BD91" s="6">
        <v>4</v>
      </c>
      <c r="BE91" s="6">
        <v>279</v>
      </c>
      <c r="BF91" s="6">
        <v>-474</v>
      </c>
      <c r="BG91" s="6">
        <v>-638</v>
      </c>
      <c r="BH91" s="6">
        <v>113</v>
      </c>
      <c r="BI91" s="6">
        <v>-786</v>
      </c>
      <c r="BJ91" s="6">
        <v>235</v>
      </c>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row>
    <row r="92" spans="2:99" x14ac:dyDescent="0.25">
      <c r="B92" s="10" t="s">
        <v>55</v>
      </c>
      <c r="C92" s="6"/>
      <c r="D92" s="6"/>
      <c r="E92" s="6"/>
      <c r="F92" s="6"/>
      <c r="G92" s="6"/>
      <c r="H92" s="6"/>
      <c r="I92" s="6"/>
      <c r="J92" s="6"/>
      <c r="K92" s="6"/>
      <c r="L92" s="6"/>
      <c r="M92" s="6"/>
      <c r="N92" s="6">
        <f>+N91+N89+N81+N69</f>
        <v>4648</v>
      </c>
      <c r="O92" s="6">
        <f>+O91+O89+O81+O69</f>
        <v>-2581</v>
      </c>
      <c r="P92" s="6"/>
      <c r="Q92" s="6"/>
      <c r="R92" s="6">
        <f>+R91+R89+R81+R69</f>
        <v>1937</v>
      </c>
      <c r="S92" s="6">
        <f>+S91+S89+S81+S69</f>
        <v>-3381</v>
      </c>
      <c r="T92" s="6"/>
      <c r="U92" s="6"/>
      <c r="V92" s="6">
        <f>+V91+V89+V81+V69</f>
        <v>-1512</v>
      </c>
      <c r="W92" s="6">
        <f>+W91+W89+W81+W69</f>
        <v>-1876</v>
      </c>
      <c r="X92" s="6"/>
      <c r="Y92" s="6"/>
      <c r="Z92" s="6">
        <f t="shared" ref="Z92:AH92" si="302">+Z91+Z89+Z81+Z69</f>
        <v>-3176</v>
      </c>
      <c r="AA92" s="6">
        <f t="shared" si="302"/>
        <v>17383</v>
      </c>
      <c r="AB92" s="6">
        <f t="shared" si="302"/>
        <v>8096</v>
      </c>
      <c r="AC92" s="6">
        <f t="shared" si="302"/>
        <v>4928</v>
      </c>
      <c r="AD92" s="6">
        <f t="shared" si="302"/>
        <v>-9543</v>
      </c>
      <c r="AE92" s="6">
        <f t="shared" si="302"/>
        <v>-258</v>
      </c>
      <c r="AF92" s="6">
        <f t="shared" si="302"/>
        <v>12101</v>
      </c>
      <c r="AG92" s="6">
        <f t="shared" si="302"/>
        <v>361</v>
      </c>
      <c r="AH92" s="6">
        <f t="shared" si="302"/>
        <v>-15367</v>
      </c>
      <c r="AI92" s="6">
        <f t="shared" ref="AI92" si="303">+AI91+AI89+AI81+AI69</f>
        <v>-16703</v>
      </c>
      <c r="AJ92" s="6">
        <f>+AJ91+AJ89+AJ81+AJ69</f>
        <v>-1427</v>
      </c>
      <c r="AK92" s="6">
        <f>+AK91+AK89+AK81+AK69</f>
        <v>27159</v>
      </c>
      <c r="AL92" s="6">
        <f>+AL91+AL89+AL81+AL69</f>
        <v>-7998</v>
      </c>
      <c r="AM92" s="6"/>
      <c r="AN92" s="6"/>
      <c r="AO92" s="6"/>
      <c r="AP92" s="6"/>
      <c r="AQ92" s="6"/>
      <c r="AR92" s="6"/>
      <c r="AS92" s="6"/>
      <c r="AT92" s="6"/>
      <c r="AU92" s="6"/>
      <c r="AV92" s="6"/>
      <c r="AW92" s="6"/>
      <c r="AX92" s="6">
        <f t="shared" ref="AX92:BJ92" si="304">+AX91+AX89+AX81+AX69</f>
        <v>1548</v>
      </c>
      <c r="AY92" s="6">
        <f t="shared" si="304"/>
        <v>2861</v>
      </c>
      <c r="AZ92" s="6">
        <f t="shared" si="304"/>
        <v>592</v>
      </c>
      <c r="BA92" s="6">
        <f t="shared" si="304"/>
        <v>3996</v>
      </c>
      <c r="BB92" s="6">
        <f t="shared" si="304"/>
        <v>-824</v>
      </c>
      <c r="BC92" s="6">
        <f t="shared" si="304"/>
        <v>1920</v>
      </c>
      <c r="BD92" s="6">
        <f t="shared" si="304"/>
        <v>9155</v>
      </c>
      <c r="BE92" s="6">
        <f t="shared" si="304"/>
        <v>-1325</v>
      </c>
      <c r="BF92" s="6">
        <f t="shared" si="304"/>
        <v>-1089</v>
      </c>
      <c r="BG92" s="6">
        <f t="shared" si="304"/>
        <v>-1269</v>
      </c>
      <c r="BH92" s="6">
        <f t="shared" si="304"/>
        <v>27231</v>
      </c>
      <c r="BI92" s="6">
        <f t="shared" si="304"/>
        <v>2661</v>
      </c>
      <c r="BJ92" s="6">
        <f t="shared" si="304"/>
        <v>-6338</v>
      </c>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row>
    <row r="93" spans="2:99" x14ac:dyDescent="0.25">
      <c r="B93" s="10" t="s">
        <v>56</v>
      </c>
      <c r="C93" s="6"/>
      <c r="D93" s="6"/>
      <c r="E93" s="6"/>
      <c r="F93" s="6"/>
      <c r="G93" s="6"/>
      <c r="H93" s="6"/>
      <c r="I93" s="6"/>
      <c r="J93" s="6"/>
      <c r="K93" s="6"/>
      <c r="L93" s="6"/>
      <c r="M93" s="6"/>
      <c r="N93" s="6">
        <v>19279</v>
      </c>
      <c r="O93" s="6">
        <v>23927</v>
      </c>
      <c r="P93" s="6"/>
      <c r="Q93" s="6"/>
      <c r="R93" s="6">
        <v>17954</v>
      </c>
      <c r="S93" s="6">
        <v>19891</v>
      </c>
      <c r="T93" s="6"/>
      <c r="U93" s="6"/>
      <c r="V93" s="6">
        <v>16865</v>
      </c>
      <c r="W93" s="6">
        <v>15353</v>
      </c>
      <c r="X93" s="6"/>
      <c r="Y93" s="6"/>
      <c r="Z93" s="6">
        <v>15596</v>
      </c>
      <c r="AA93" s="6">
        <v>12420</v>
      </c>
      <c r="AB93" s="6">
        <v>29803</v>
      </c>
      <c r="AC93" s="6">
        <v>37899</v>
      </c>
      <c r="AD93" s="6">
        <v>42827</v>
      </c>
      <c r="AE93" s="6">
        <v>33284</v>
      </c>
      <c r="AF93" s="6">
        <v>33026</v>
      </c>
      <c r="AG93" s="6">
        <v>45127</v>
      </c>
      <c r="AH93" s="6">
        <v>45438</v>
      </c>
      <c r="AI93" s="6">
        <v>30071</v>
      </c>
      <c r="AJ93" s="6">
        <v>13368</v>
      </c>
      <c r="AK93" s="6">
        <v>11941</v>
      </c>
      <c r="AL93" s="6">
        <v>39100</v>
      </c>
      <c r="AM93" s="6"/>
      <c r="AN93" s="6"/>
      <c r="AO93" s="6"/>
      <c r="AP93" s="6"/>
      <c r="AQ93" s="6"/>
      <c r="AR93" s="6"/>
      <c r="AS93" s="6"/>
      <c r="AT93" s="6"/>
      <c r="AU93" s="6"/>
      <c r="AV93" s="6"/>
      <c r="AW93" s="6"/>
      <c r="AX93" s="6">
        <v>8204</v>
      </c>
      <c r="AY93" s="6">
        <v>8204</v>
      </c>
      <c r="AZ93" s="6">
        <v>8204</v>
      </c>
      <c r="BA93" s="6">
        <v>8204</v>
      </c>
      <c r="BB93" s="6">
        <v>8204</v>
      </c>
      <c r="BC93" s="6">
        <v>8204</v>
      </c>
      <c r="BD93" s="6">
        <v>10124</v>
      </c>
      <c r="BE93" s="6">
        <v>19279</v>
      </c>
      <c r="BF93" s="6">
        <v>17954</v>
      </c>
      <c r="BG93" s="6">
        <v>16865</v>
      </c>
      <c r="BH93" s="6">
        <v>15596</v>
      </c>
      <c r="BI93" s="6">
        <v>42827</v>
      </c>
      <c r="BJ93" s="6">
        <v>45438</v>
      </c>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row>
    <row r="94" spans="2:99" x14ac:dyDescent="0.25">
      <c r="B94" s="10" t="s">
        <v>57</v>
      </c>
      <c r="C94" s="6"/>
      <c r="D94" s="6"/>
      <c r="E94" s="6"/>
      <c r="F94" s="6"/>
      <c r="G94" s="6"/>
      <c r="H94" s="6"/>
      <c r="I94" s="6"/>
      <c r="J94" s="6"/>
      <c r="K94" s="6"/>
      <c r="L94" s="6"/>
      <c r="M94" s="6"/>
      <c r="N94" s="6">
        <f>SUM(N92:N93)</f>
        <v>23927</v>
      </c>
      <c r="O94" s="6">
        <f>SUM(O92:O93)</f>
        <v>21346</v>
      </c>
      <c r="P94" s="6"/>
      <c r="Q94" s="6"/>
      <c r="R94" s="6">
        <f>SUM(R92:R93)</f>
        <v>19891</v>
      </c>
      <c r="S94" s="6">
        <f>SUM(S92:S93)</f>
        <v>16510</v>
      </c>
      <c r="T94" s="6"/>
      <c r="U94" s="6"/>
      <c r="V94" s="6">
        <f>SUM(V92:V93)</f>
        <v>15353</v>
      </c>
      <c r="W94" s="6">
        <f>SUM(W92:W93)</f>
        <v>13477</v>
      </c>
      <c r="X94" s="6"/>
      <c r="Y94" s="6"/>
      <c r="Z94" s="6">
        <f t="shared" ref="Z94:AH94" si="305">SUM(Z92:Z93)</f>
        <v>12420</v>
      </c>
      <c r="AA94" s="6">
        <f t="shared" si="305"/>
        <v>29803</v>
      </c>
      <c r="AB94" s="6">
        <f t="shared" si="305"/>
        <v>37899</v>
      </c>
      <c r="AC94" s="6">
        <f t="shared" si="305"/>
        <v>42827</v>
      </c>
      <c r="AD94" s="6">
        <f t="shared" si="305"/>
        <v>33284</v>
      </c>
      <c r="AE94" s="6">
        <f t="shared" si="305"/>
        <v>33026</v>
      </c>
      <c r="AF94" s="6">
        <f t="shared" si="305"/>
        <v>45127</v>
      </c>
      <c r="AG94" s="6">
        <f t="shared" si="305"/>
        <v>45488</v>
      </c>
      <c r="AH94" s="6">
        <f t="shared" si="305"/>
        <v>30071</v>
      </c>
      <c r="AI94" s="6">
        <f t="shared" ref="AI94:AK94" si="306">SUM(AI92:AI93)</f>
        <v>13368</v>
      </c>
      <c r="AJ94" s="6">
        <f t="shared" si="306"/>
        <v>11941</v>
      </c>
      <c r="AK94" s="6">
        <f t="shared" si="306"/>
        <v>39100</v>
      </c>
      <c r="AL94" s="6">
        <f t="shared" ref="AL94" si="307">SUM(AL92:AL93)</f>
        <v>31102</v>
      </c>
      <c r="AM94" s="6"/>
      <c r="AN94" s="6"/>
      <c r="AO94" s="6"/>
      <c r="AP94" s="6"/>
      <c r="AQ94" s="6"/>
      <c r="AR94" s="6"/>
      <c r="AS94" s="6"/>
      <c r="AT94" s="6"/>
      <c r="AU94" s="6"/>
      <c r="AV94" s="6"/>
      <c r="AW94" s="6"/>
      <c r="AX94" s="6">
        <f t="shared" ref="AX94:BJ94" si="308">SUM(AX92:AX93)</f>
        <v>9752</v>
      </c>
      <c r="AY94" s="6">
        <f t="shared" si="308"/>
        <v>11065</v>
      </c>
      <c r="AZ94" s="6">
        <f t="shared" si="308"/>
        <v>8796</v>
      </c>
      <c r="BA94" s="6">
        <f t="shared" si="308"/>
        <v>12200</v>
      </c>
      <c r="BB94" s="6">
        <f t="shared" si="308"/>
        <v>7380</v>
      </c>
      <c r="BC94" s="6">
        <f t="shared" si="308"/>
        <v>10124</v>
      </c>
      <c r="BD94" s="6">
        <f t="shared" si="308"/>
        <v>19279</v>
      </c>
      <c r="BE94" s="6">
        <f t="shared" si="308"/>
        <v>17954</v>
      </c>
      <c r="BF94" s="6">
        <f t="shared" si="308"/>
        <v>16865</v>
      </c>
      <c r="BG94" s="6">
        <f t="shared" si="308"/>
        <v>15596</v>
      </c>
      <c r="BH94" s="6">
        <f t="shared" si="308"/>
        <v>42827</v>
      </c>
      <c r="BI94" s="6">
        <f t="shared" si="308"/>
        <v>45488</v>
      </c>
      <c r="BJ94" s="6">
        <f t="shared" si="308"/>
        <v>39100</v>
      </c>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row>
    <row r="95" spans="2:99" x14ac:dyDescent="0.25">
      <c r="B95" s="10"/>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row>
    <row r="96" spans="2:99" x14ac:dyDescent="0.25">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row>
    <row r="97" spans="2:99" x14ac:dyDescent="0.25">
      <c r="B97" s="3" t="s">
        <v>24</v>
      </c>
      <c r="C97" s="6"/>
      <c r="D97" s="6"/>
      <c r="E97" s="6"/>
      <c r="F97" s="6"/>
      <c r="G97" s="6"/>
      <c r="H97" s="6"/>
      <c r="I97" s="6"/>
      <c r="J97" s="6"/>
      <c r="K97" s="6"/>
      <c r="L97" s="6"/>
      <c r="M97" s="6"/>
      <c r="N97" s="6">
        <f>+N69+SUM(N73:N74)</f>
        <v>7443</v>
      </c>
      <c r="O97" s="6">
        <f>+O69+SUM(O73:O74)</f>
        <v>621</v>
      </c>
      <c r="P97" s="6"/>
      <c r="Q97" s="6"/>
      <c r="R97" s="6">
        <f>+R69+SUM(R73:R74)</f>
        <v>7970</v>
      </c>
      <c r="S97" s="6">
        <f>+S69+SUM(S73:S74)</f>
        <v>8634</v>
      </c>
      <c r="T97" s="6"/>
      <c r="U97" s="6"/>
      <c r="V97" s="6">
        <f>+V69+SUM(V73:V74)</f>
        <v>8761</v>
      </c>
      <c r="W97" s="6">
        <f>+W69+SUM(W73:W74)</f>
        <v>4668</v>
      </c>
      <c r="X97" s="6"/>
      <c r="Y97" s="6"/>
      <c r="Z97" s="6">
        <f t="shared" ref="Z97:AH97" si="309">+Z69+SUM(Z73:Z74)</f>
        <v>7175</v>
      </c>
      <c r="AA97" s="6">
        <f t="shared" si="309"/>
        <v>11174</v>
      </c>
      <c r="AB97" s="6">
        <f t="shared" si="309"/>
        <v>13906</v>
      </c>
      <c r="AC97" s="6">
        <f t="shared" si="309"/>
        <v>11813</v>
      </c>
      <c r="AD97" s="6">
        <f t="shared" si="309"/>
        <v>12846</v>
      </c>
      <c r="AE97" s="6">
        <f t="shared" si="309"/>
        <v>11197</v>
      </c>
      <c r="AF97" s="6">
        <f t="shared" si="309"/>
        <v>16466</v>
      </c>
      <c r="AG97" s="6">
        <f t="shared" si="309"/>
        <v>13613</v>
      </c>
      <c r="AH97" s="6">
        <f t="shared" si="309"/>
        <v>11085</v>
      </c>
      <c r="AI97" s="6">
        <f t="shared" ref="AI97" si="310">+AI69+SUM(AI73:AI74)</f>
        <v>8563</v>
      </c>
      <c r="AJ97" s="6">
        <f>+AJ69+SUM(AJ73:AJ74)</f>
        <v>11630</v>
      </c>
      <c r="AK97" s="6">
        <f>+AK69+SUM(AK73:AK74)</f>
        <v>14831</v>
      </c>
      <c r="AL97" s="6">
        <f>+AL69+SUM(AL73:AL74)</f>
        <v>13229</v>
      </c>
      <c r="AM97" s="6">
        <f t="shared" ref="AM97:AO97" si="311">+AM69+SUM(AM73:AM74)</f>
        <v>6050</v>
      </c>
      <c r="AN97" s="6">
        <f t="shared" si="311"/>
        <v>7230</v>
      </c>
      <c r="AO97" s="6">
        <f t="shared" si="311"/>
        <v>13600</v>
      </c>
      <c r="AP97" s="6"/>
      <c r="AQ97" s="6"/>
      <c r="AR97" s="6"/>
      <c r="AS97" s="6"/>
      <c r="AT97" s="6"/>
      <c r="AU97" s="6"/>
      <c r="AV97" s="6"/>
      <c r="AW97" s="6"/>
      <c r="AX97" s="6">
        <f t="shared" ref="AX97" si="312">+AX69+SUM(AX73:AX74)</f>
        <v>3469</v>
      </c>
      <c r="AY97" s="6">
        <f t="shared" ref="AY97" si="313">+AY69+SUM(AY73:AY74)</f>
        <v>5495</v>
      </c>
      <c r="AZ97" s="6">
        <f t="shared" ref="AZ97:BA97" si="314">+AZ69+SUM(AZ73:AZ74)</f>
        <v>7797</v>
      </c>
      <c r="BA97" s="6">
        <f t="shared" si="314"/>
        <v>11617</v>
      </c>
      <c r="BB97" s="6">
        <f t="shared" ref="BB97" si="315">+BB69+SUM(BB73:BB74)</f>
        <v>17483</v>
      </c>
      <c r="BC97" s="6">
        <f t="shared" ref="BC97:BJ97" si="316">+BC69+SUM(BC73:BC74)</f>
        <v>15359</v>
      </c>
      <c r="BD97" s="6">
        <f t="shared" si="316"/>
        <v>21212</v>
      </c>
      <c r="BE97" s="6">
        <f t="shared" si="316"/>
        <v>23632</v>
      </c>
      <c r="BF97" s="6">
        <f t="shared" si="316"/>
        <v>39116</v>
      </c>
      <c r="BG97" s="6">
        <f t="shared" si="316"/>
        <v>19289</v>
      </c>
      <c r="BH97" s="6">
        <f t="shared" si="316"/>
        <v>44068</v>
      </c>
      <c r="BI97" s="6">
        <f t="shared" si="316"/>
        <v>54122</v>
      </c>
      <c r="BJ97" s="6">
        <f t="shared" si="316"/>
        <v>46109</v>
      </c>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row>
    <row r="98" spans="2:99" x14ac:dyDescent="0.25">
      <c r="B98" s="31" t="s">
        <v>156</v>
      </c>
      <c r="C98" s="6"/>
      <c r="D98" s="6"/>
      <c r="E98" s="6"/>
      <c r="F98" s="6"/>
      <c r="G98" s="6"/>
      <c r="H98" s="6"/>
      <c r="I98" s="6"/>
      <c r="J98" s="6"/>
      <c r="K98" s="6"/>
      <c r="L98" s="6"/>
      <c r="M98" s="6"/>
      <c r="N98" s="6"/>
      <c r="O98" s="6"/>
      <c r="P98" s="6"/>
      <c r="Q98" s="6"/>
      <c r="R98" s="6"/>
      <c r="S98" s="6"/>
      <c r="T98" s="6"/>
      <c r="U98" s="6"/>
      <c r="V98" s="6"/>
      <c r="W98" s="6"/>
      <c r="X98" s="6"/>
      <c r="Y98" s="6"/>
      <c r="Z98" s="31">
        <f t="shared" ref="Z98:AG98" si="317">+Z97/V97-1</f>
        <v>-0.18102956283529281</v>
      </c>
      <c r="AA98" s="31">
        <f t="shared" si="317"/>
        <v>1.393744644387318</v>
      </c>
      <c r="AB98" s="31"/>
      <c r="AC98" s="31"/>
      <c r="AD98" s="31">
        <f t="shared" si="317"/>
        <v>0.79038327526132401</v>
      </c>
      <c r="AE98" s="31">
        <f t="shared" si="317"/>
        <v>2.0583497404689233E-3</v>
      </c>
      <c r="AF98" s="31">
        <f t="shared" si="317"/>
        <v>0.18409319718107287</v>
      </c>
      <c r="AG98" s="31">
        <f t="shared" si="317"/>
        <v>0.15237450266655372</v>
      </c>
      <c r="AH98" s="31">
        <f>+AH97/AD97-1</f>
        <v>-0.13708547407753391</v>
      </c>
      <c r="AI98" s="31">
        <f>+AI97/AE97-1</f>
        <v>-0.23524158256675898</v>
      </c>
      <c r="AJ98" s="31">
        <f>+AJ97/AF97-1</f>
        <v>-0.29369610105672295</v>
      </c>
      <c r="AK98" s="31">
        <f>+AK97/AG97-1</f>
        <v>8.9473297583192446E-2</v>
      </c>
      <c r="AL98" s="31">
        <f>+AL97/AH97-1</f>
        <v>0.19341452413170956</v>
      </c>
      <c r="AM98" s="31">
        <f t="shared" ref="AM98:AO98" si="318">+AM97/AI97-1</f>
        <v>-0.29347191404881467</v>
      </c>
      <c r="AN98" s="31">
        <f t="shared" si="318"/>
        <v>-0.3783319002579536</v>
      </c>
      <c r="AO98" s="31">
        <f t="shared" si="318"/>
        <v>-8.3001820511091617E-2</v>
      </c>
      <c r="AP98" s="6"/>
      <c r="AQ98" s="6"/>
      <c r="AR98" s="6"/>
      <c r="AS98" s="6"/>
      <c r="AT98" s="6"/>
      <c r="AU98" s="6"/>
      <c r="AV98" s="6"/>
      <c r="AW98" s="6"/>
      <c r="AX98" s="31"/>
      <c r="AY98" s="31">
        <f t="shared" ref="AY98:BJ98" si="319">+AY97/AX97-1</f>
        <v>0.58402997982127425</v>
      </c>
      <c r="AZ98" s="31">
        <f t="shared" si="319"/>
        <v>0.41892629663330294</v>
      </c>
      <c r="BA98" s="31">
        <f t="shared" si="319"/>
        <v>0.48993202513787359</v>
      </c>
      <c r="BB98" s="31">
        <f t="shared" si="319"/>
        <v>0.50494964276491339</v>
      </c>
      <c r="BC98" s="31">
        <f t="shared" si="319"/>
        <v>-0.12148944689126584</v>
      </c>
      <c r="BD98" s="31">
        <f t="shared" si="319"/>
        <v>0.38107949736310953</v>
      </c>
      <c r="BE98" s="31">
        <f t="shared" si="319"/>
        <v>0.11408636620780688</v>
      </c>
      <c r="BF98" s="31">
        <f t="shared" si="319"/>
        <v>0.65521327014218</v>
      </c>
      <c r="BG98" s="31">
        <f t="shared" si="319"/>
        <v>-0.50687698128643011</v>
      </c>
      <c r="BH98" s="31">
        <f t="shared" si="319"/>
        <v>1.2846181761625797</v>
      </c>
      <c r="BI98" s="31">
        <f t="shared" si="319"/>
        <v>0.22814740855042204</v>
      </c>
      <c r="BJ98" s="31">
        <f t="shared" si="319"/>
        <v>-0.1480543956246998</v>
      </c>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row>
    <row r="99" spans="2:99" x14ac:dyDescent="0.25">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row>
    <row r="100" spans="2:99" x14ac:dyDescent="0.25">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row>
    <row r="101" spans="2:99" x14ac:dyDescent="0.25">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row>
    <row r="102" spans="2:99" x14ac:dyDescent="0.25">
      <c r="B102" s="29" t="s">
        <v>124</v>
      </c>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f t="shared" ref="AK102" si="320">+SUM(AK108:AK109)</f>
        <v>81592</v>
      </c>
      <c r="AL102" s="6">
        <f t="shared" ref="AL102" si="321">+SUM(AL108:AL109)</f>
        <v>81180</v>
      </c>
      <c r="AM102" s="6"/>
      <c r="AN102" s="6"/>
      <c r="AO102" s="6"/>
      <c r="AP102" s="6"/>
      <c r="AQ102" s="6"/>
      <c r="AR102" s="6"/>
      <c r="AS102" s="6"/>
      <c r="AT102" s="6"/>
      <c r="AU102" s="6"/>
      <c r="AV102" s="6"/>
      <c r="AW102" s="6"/>
      <c r="AX102" s="6"/>
      <c r="AY102" s="6">
        <f t="shared" ref="AY102:BJ102" si="322">+SUM(AY108:AY109)</f>
        <v>11199</v>
      </c>
      <c r="AZ102" s="6">
        <f t="shared" si="322"/>
        <v>18434</v>
      </c>
      <c r="BA102" s="6">
        <f t="shared" si="322"/>
        <v>29449</v>
      </c>
      <c r="BB102" s="6">
        <f t="shared" si="322"/>
        <v>41711</v>
      </c>
      <c r="BC102" s="6">
        <f t="shared" si="322"/>
        <v>41114</v>
      </c>
      <c r="BD102" s="6">
        <f t="shared" si="322"/>
        <v>54855</v>
      </c>
      <c r="BE102" s="6">
        <f t="shared" si="322"/>
        <v>61954</v>
      </c>
      <c r="BF102" s="6">
        <f t="shared" si="322"/>
        <v>47998</v>
      </c>
      <c r="BG102" s="6">
        <f t="shared" si="322"/>
        <v>40738</v>
      </c>
      <c r="BH102" s="6">
        <f t="shared" si="322"/>
        <v>65403</v>
      </c>
      <c r="BI102" s="6">
        <f t="shared" si="322"/>
        <v>77815</v>
      </c>
      <c r="BJ102" s="6">
        <f t="shared" si="322"/>
        <v>81592</v>
      </c>
      <c r="BK102" s="6">
        <f>+BK37+BJ102</f>
        <v>164585.43455737596</v>
      </c>
      <c r="BL102" s="6">
        <f t="shared" ref="BL102:BP102" si="323">+BL37+BK102</f>
        <v>268296.41192883416</v>
      </c>
      <c r="BM102" s="6">
        <f t="shared" si="323"/>
        <v>395709.11131604784</v>
      </c>
      <c r="BN102" s="6">
        <f t="shared" si="323"/>
        <v>552387.17323125876</v>
      </c>
      <c r="BO102" s="6">
        <f t="shared" si="323"/>
        <v>744847.76680946501</v>
      </c>
      <c r="BP102" s="6">
        <f t="shared" si="323"/>
        <v>976639.20423912129</v>
      </c>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row>
    <row r="103" spans="2:99" x14ac:dyDescent="0.25">
      <c r="B103" s="29" t="s">
        <v>152</v>
      </c>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f t="shared" ref="AK103" si="324">+SUM(AK128)</f>
        <v>58744</v>
      </c>
      <c r="AL103" s="6">
        <f t="shared" ref="AL103" si="325">+SUM(AL128)</f>
        <v>58748</v>
      </c>
      <c r="AM103" s="6"/>
      <c r="AN103" s="6"/>
      <c r="AO103" s="6"/>
      <c r="AP103" s="6"/>
      <c r="AQ103" s="6"/>
      <c r="AR103" s="6"/>
      <c r="AS103" s="6"/>
      <c r="AT103" s="6"/>
      <c r="AU103" s="6"/>
      <c r="AV103" s="6"/>
      <c r="AW103" s="6"/>
      <c r="AX103" s="6"/>
      <c r="AY103" s="6">
        <f t="shared" ref="AY103:BJ103" si="326">+SUM(AY128)</f>
        <v>0</v>
      </c>
      <c r="AZ103" s="6">
        <f t="shared" si="326"/>
        <v>0</v>
      </c>
      <c r="BA103" s="6">
        <f t="shared" si="326"/>
        <v>0</v>
      </c>
      <c r="BB103" s="6">
        <f t="shared" si="326"/>
        <v>0</v>
      </c>
      <c r="BC103" s="6">
        <f t="shared" si="326"/>
        <v>0</v>
      </c>
      <c r="BD103" s="6">
        <f t="shared" si="326"/>
        <v>0</v>
      </c>
      <c r="BE103" s="6">
        <f t="shared" si="326"/>
        <v>0</v>
      </c>
      <c r="BF103" s="6">
        <f t="shared" si="326"/>
        <v>0</v>
      </c>
      <c r="BG103" s="6">
        <f t="shared" si="326"/>
        <v>9923</v>
      </c>
      <c r="BH103" s="6">
        <f t="shared" si="326"/>
        <v>18385</v>
      </c>
      <c r="BI103" s="6">
        <f t="shared" si="326"/>
        <v>28826</v>
      </c>
      <c r="BJ103" s="6">
        <f t="shared" si="326"/>
        <v>58744</v>
      </c>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row>
    <row r="104" spans="2:99" x14ac:dyDescent="0.25">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row>
    <row r="105" spans="2:99" x14ac:dyDescent="0.25">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row>
    <row r="106" spans="2:99" x14ac:dyDescent="0.25">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row>
    <row r="107" spans="2:99" x14ac:dyDescent="0.25">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row>
    <row r="108" spans="2:99" x14ac:dyDescent="0.25">
      <c r="B108" s="29" t="s">
        <v>124</v>
      </c>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v>35873</v>
      </c>
      <c r="AL108" s="6">
        <v>23426</v>
      </c>
      <c r="AM108" s="6"/>
      <c r="AN108" s="6"/>
      <c r="AO108" s="6"/>
      <c r="AP108" s="6"/>
      <c r="AQ108" s="6"/>
      <c r="AR108" s="6"/>
      <c r="AS108" s="6"/>
      <c r="AT108" s="6"/>
      <c r="AU108" s="6"/>
      <c r="AV108" s="6"/>
      <c r="AW108" s="6"/>
      <c r="AX108" s="6"/>
      <c r="AY108" s="6">
        <v>4315</v>
      </c>
      <c r="AZ108" s="6">
        <v>4907</v>
      </c>
      <c r="BA108" s="6">
        <v>8903</v>
      </c>
      <c r="BB108" s="6">
        <v>8079</v>
      </c>
      <c r="BC108" s="6">
        <v>10019</v>
      </c>
      <c r="BD108" s="6">
        <v>19079</v>
      </c>
      <c r="BE108" s="6">
        <v>17576</v>
      </c>
      <c r="BF108" s="6">
        <v>16601</v>
      </c>
      <c r="BG108" s="6">
        <v>14681</v>
      </c>
      <c r="BH108" s="6">
        <v>41862</v>
      </c>
      <c r="BI108" s="6">
        <v>43889</v>
      </c>
      <c r="BJ108" s="6">
        <v>35873</v>
      </c>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row>
    <row r="109" spans="2:99" s="6" customFormat="1" x14ac:dyDescent="0.25">
      <c r="B109" s="30" t="s">
        <v>127</v>
      </c>
      <c r="AK109" s="6">
        <v>45719</v>
      </c>
      <c r="AL109" s="6">
        <v>57754</v>
      </c>
      <c r="AY109" s="6">
        <v>6884</v>
      </c>
      <c r="AZ109" s="6">
        <v>13527</v>
      </c>
      <c r="BA109" s="6">
        <v>20546</v>
      </c>
      <c r="BB109" s="6">
        <v>33632</v>
      </c>
      <c r="BC109" s="6">
        <v>31095</v>
      </c>
      <c r="BD109" s="6">
        <v>35776</v>
      </c>
      <c r="BE109" s="6">
        <v>44378</v>
      </c>
      <c r="BF109" s="6">
        <v>31397</v>
      </c>
      <c r="BG109" s="6">
        <v>26057</v>
      </c>
      <c r="BH109" s="6">
        <v>23541</v>
      </c>
      <c r="BI109" s="6">
        <v>33926</v>
      </c>
      <c r="BJ109" s="6">
        <v>45719</v>
      </c>
    </row>
    <row r="110" spans="2:99" x14ac:dyDescent="0.25">
      <c r="B110" s="29" t="s">
        <v>97</v>
      </c>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v>19769</v>
      </c>
      <c r="AL110" s="6">
        <v>17470</v>
      </c>
      <c r="AM110" s="6"/>
      <c r="AN110" s="6"/>
      <c r="AO110" s="6"/>
      <c r="AP110" s="6"/>
      <c r="AQ110" s="6"/>
      <c r="AR110" s="6"/>
      <c r="AS110" s="6"/>
      <c r="AT110" s="6"/>
      <c r="AU110" s="6"/>
      <c r="AV110" s="6"/>
      <c r="AW110" s="6"/>
      <c r="AX110" s="6"/>
      <c r="AY110" s="6">
        <v>1678</v>
      </c>
      <c r="AZ110" s="6">
        <v>2559</v>
      </c>
      <c r="BA110" s="6">
        <v>3993</v>
      </c>
      <c r="BB110" s="6">
        <v>5832</v>
      </c>
      <c r="BC110" s="6">
        <v>7587</v>
      </c>
      <c r="BD110" s="6">
        <v>9518</v>
      </c>
      <c r="BE110" s="6">
        <v>11335</v>
      </c>
      <c r="BF110" s="6">
        <v>14039</v>
      </c>
      <c r="BG110" s="6">
        <v>13466</v>
      </c>
      <c r="BH110" s="6">
        <v>16169</v>
      </c>
      <c r="BI110" s="6">
        <v>16994</v>
      </c>
      <c r="BJ110" s="6">
        <v>19769</v>
      </c>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row>
    <row r="111" spans="2:99" x14ac:dyDescent="0.25">
      <c r="B111" s="29" t="s">
        <v>41</v>
      </c>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v>7361</v>
      </c>
      <c r="AL111" s="6">
        <v>11115</v>
      </c>
      <c r="AM111" s="6"/>
      <c r="AN111" s="6"/>
      <c r="AO111" s="6"/>
      <c r="AP111" s="6"/>
      <c r="AQ111" s="6"/>
      <c r="AR111" s="6"/>
      <c r="AS111" s="6"/>
      <c r="AT111" s="6"/>
      <c r="AU111" s="6"/>
      <c r="AV111" s="6"/>
      <c r="AW111" s="6"/>
      <c r="AX111" s="6"/>
      <c r="AY111" s="6">
        <v>513</v>
      </c>
      <c r="AZ111" s="6">
        <v>659</v>
      </c>
      <c r="BA111" s="6">
        <v>959</v>
      </c>
      <c r="BB111" s="6">
        <v>1020</v>
      </c>
      <c r="BC111" s="6">
        <v>1779</v>
      </c>
      <c r="BD111" s="6">
        <v>1852</v>
      </c>
      <c r="BE111" s="6">
        <v>2381</v>
      </c>
      <c r="BF111" s="6">
        <v>4629</v>
      </c>
      <c r="BG111" s="6">
        <v>5345</v>
      </c>
      <c r="BH111" s="6">
        <v>3793</v>
      </c>
      <c r="BI111" s="6">
        <v>5236</v>
      </c>
      <c r="BJ111" s="6">
        <v>7361</v>
      </c>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row>
    <row r="112" spans="2:99" x14ac:dyDescent="0.25">
      <c r="B112" s="29" t="s">
        <v>125</v>
      </c>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f t="shared" ref="AK112:AL112" si="327">+SUM(AK108:AK111)</f>
        <v>108722</v>
      </c>
      <c r="AL112" s="6">
        <f t="shared" si="327"/>
        <v>109765</v>
      </c>
      <c r="AM112" s="6"/>
      <c r="AN112" s="6"/>
      <c r="AO112" s="6"/>
      <c r="AP112" s="6"/>
      <c r="AQ112" s="6"/>
      <c r="AR112" s="6"/>
      <c r="AS112" s="6"/>
      <c r="AT112" s="6"/>
      <c r="AU112" s="6"/>
      <c r="AV112" s="6"/>
      <c r="AW112" s="6"/>
      <c r="AX112" s="6"/>
      <c r="AY112" s="6">
        <f t="shared" ref="AY112:BJ112" si="328">+SUM(AY108:AY111)</f>
        <v>13390</v>
      </c>
      <c r="AZ112" s="6">
        <f t="shared" si="328"/>
        <v>21652</v>
      </c>
      <c r="BA112" s="6">
        <f t="shared" si="328"/>
        <v>34401</v>
      </c>
      <c r="BB112" s="6">
        <f t="shared" si="328"/>
        <v>48563</v>
      </c>
      <c r="BC112" s="6">
        <f t="shared" si="328"/>
        <v>50480</v>
      </c>
      <c r="BD112" s="6">
        <f t="shared" si="328"/>
        <v>66225</v>
      </c>
      <c r="BE112" s="6">
        <f t="shared" si="328"/>
        <v>75670</v>
      </c>
      <c r="BF112" s="6">
        <f t="shared" si="328"/>
        <v>66666</v>
      </c>
      <c r="BG112" s="6">
        <f t="shared" si="328"/>
        <v>59549</v>
      </c>
      <c r="BH112" s="6">
        <f t="shared" si="328"/>
        <v>85365</v>
      </c>
      <c r="BI112" s="6">
        <f t="shared" si="328"/>
        <v>100045</v>
      </c>
      <c r="BJ112" s="6">
        <f t="shared" si="328"/>
        <v>108722</v>
      </c>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row>
    <row r="113" spans="2:99" x14ac:dyDescent="0.25">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row>
    <row r="114" spans="2:99" x14ac:dyDescent="0.25">
      <c r="B114" s="29" t="s">
        <v>126</v>
      </c>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v>27524</v>
      </c>
      <c r="AL114" s="6">
        <v>28410</v>
      </c>
      <c r="AM114" s="6"/>
      <c r="AN114" s="6"/>
      <c r="AO114" s="6"/>
      <c r="AP114" s="6"/>
      <c r="AQ114" s="6"/>
      <c r="AR114" s="6"/>
      <c r="AS114" s="6"/>
      <c r="AT114" s="6"/>
      <c r="AU114" s="6"/>
      <c r="AV114" s="6"/>
      <c r="AW114" s="6"/>
      <c r="AX114" s="6"/>
      <c r="AY114" s="30" t="s">
        <v>23</v>
      </c>
      <c r="AZ114" s="30" t="s">
        <v>23</v>
      </c>
      <c r="BA114" s="30" t="s">
        <v>23</v>
      </c>
      <c r="BB114" s="30" t="s">
        <v>23</v>
      </c>
      <c r="BC114" s="30" t="s">
        <v>23</v>
      </c>
      <c r="BD114" s="30" t="s">
        <v>23</v>
      </c>
      <c r="BE114" s="6">
        <v>6234</v>
      </c>
      <c r="BF114" s="6">
        <v>6775</v>
      </c>
      <c r="BG114" s="6">
        <v>6201</v>
      </c>
      <c r="BH114" s="6">
        <v>6141</v>
      </c>
      <c r="BI114" s="6">
        <v>6070</v>
      </c>
      <c r="BJ114" s="6">
        <v>27524</v>
      </c>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row>
    <row r="115" spans="2:99" x14ac:dyDescent="0.25">
      <c r="B115" s="29" t="s">
        <v>77</v>
      </c>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v>176400</v>
      </c>
      <c r="AL115" s="6">
        <v>194776</v>
      </c>
      <c r="AM115" s="6"/>
      <c r="AN115" s="6"/>
      <c r="AO115" s="6"/>
      <c r="AP115" s="6"/>
      <c r="AQ115" s="6"/>
      <c r="AR115" s="6"/>
      <c r="AS115" s="6"/>
      <c r="AT115" s="6"/>
      <c r="AU115" s="6"/>
      <c r="AV115" s="6"/>
      <c r="AW115" s="6"/>
      <c r="AX115" s="6"/>
      <c r="AY115" s="6">
        <v>3967</v>
      </c>
      <c r="AZ115" s="6">
        <v>5687</v>
      </c>
      <c r="BA115" s="6">
        <v>8591</v>
      </c>
      <c r="BB115" s="6">
        <v>13721</v>
      </c>
      <c r="BC115" s="6">
        <v>24683</v>
      </c>
      <c r="BD115" s="6">
        <v>35323</v>
      </c>
      <c r="BE115" s="6">
        <v>45633</v>
      </c>
      <c r="BF115" s="6">
        <v>57809</v>
      </c>
      <c r="BG115" s="6">
        <v>79518</v>
      </c>
      <c r="BH115" s="6">
        <v>96587</v>
      </c>
      <c r="BI115" s="6">
        <v>121346</v>
      </c>
      <c r="BJ115" s="6">
        <v>176400</v>
      </c>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row>
    <row r="116" spans="2:99" x14ac:dyDescent="0.25">
      <c r="B116" s="29" t="s">
        <v>128</v>
      </c>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v>20404</v>
      </c>
      <c r="AL116" s="6">
        <v>23268</v>
      </c>
      <c r="AM116" s="6"/>
      <c r="AN116" s="6"/>
      <c r="AO116" s="6"/>
      <c r="AP116" s="6"/>
      <c r="AQ116" s="6"/>
      <c r="AR116" s="6"/>
      <c r="AS116" s="6"/>
      <c r="AT116" s="6"/>
      <c r="AU116" s="6"/>
      <c r="AV116" s="6"/>
      <c r="AW116" s="6"/>
      <c r="AX116" s="6"/>
      <c r="AY116" s="30" t="s">
        <v>23</v>
      </c>
      <c r="AZ116" s="30" t="s">
        <v>23</v>
      </c>
      <c r="BA116" s="30" t="s">
        <v>23</v>
      </c>
      <c r="BB116" s="30" t="s">
        <v>23</v>
      </c>
      <c r="BC116" s="30" t="s">
        <v>23</v>
      </c>
      <c r="BD116" s="30">
        <v>9460</v>
      </c>
      <c r="BE116" s="6">
        <v>9348</v>
      </c>
      <c r="BF116" s="6">
        <v>12155</v>
      </c>
      <c r="BG116" s="6">
        <v>12673</v>
      </c>
      <c r="BH116" s="6">
        <v>13294</v>
      </c>
      <c r="BI116" s="6">
        <v>14922</v>
      </c>
      <c r="BJ116" s="6">
        <v>20404</v>
      </c>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row>
    <row r="117" spans="2:99" x14ac:dyDescent="0.25">
      <c r="B117" s="29" t="s">
        <v>129</v>
      </c>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v>24534</v>
      </c>
      <c r="AL117" s="6">
        <v>24748</v>
      </c>
      <c r="AM117" s="6"/>
      <c r="AN117" s="6"/>
      <c r="AO117" s="6"/>
      <c r="AP117" s="6"/>
      <c r="AQ117" s="6"/>
      <c r="AR117" s="6"/>
      <c r="AS117" s="6"/>
      <c r="AT117" s="6"/>
      <c r="AU117" s="6"/>
      <c r="AV117" s="6"/>
      <c r="AW117" s="6"/>
      <c r="AX117" s="6"/>
      <c r="AY117" s="6">
        <f>3929+17981</f>
        <v>21910</v>
      </c>
      <c r="AZ117" s="6">
        <f>3246+18026</f>
        <v>21272</v>
      </c>
      <c r="BA117" s="6">
        <f>2535+18122</f>
        <v>20657</v>
      </c>
      <c r="BB117" s="6">
        <f>1884+18221</f>
        <v>20105</v>
      </c>
      <c r="BC117" s="6">
        <f>1294+18301</f>
        <v>19595</v>
      </c>
      <c r="BD117" s="6">
        <f>894+18715</f>
        <v>19609</v>
      </c>
      <c r="BE117" s="6">
        <f>623+19050</f>
        <v>19673</v>
      </c>
      <c r="BF117" s="6">
        <f>634+19197</f>
        <v>19831</v>
      </c>
      <c r="BG117" s="6">
        <f>897+20306</f>
        <v>21203</v>
      </c>
      <c r="BH117" s="6">
        <f>788+20654</f>
        <v>21442</v>
      </c>
      <c r="BI117" s="6">
        <v>20654</v>
      </c>
      <c r="BJ117" s="6">
        <v>24534</v>
      </c>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row>
    <row r="118" spans="2:99" x14ac:dyDescent="0.25">
      <c r="B118" s="29" t="s">
        <v>130</v>
      </c>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v>8437</v>
      </c>
      <c r="AL118" s="6">
        <v>14283</v>
      </c>
      <c r="AM118" s="6"/>
      <c r="AN118" s="6"/>
      <c r="AO118" s="6"/>
      <c r="AP118" s="6"/>
      <c r="AQ118" s="6"/>
      <c r="AR118" s="6"/>
      <c r="AS118" s="6"/>
      <c r="AT118" s="6"/>
      <c r="AU118" s="6"/>
      <c r="AV118" s="6"/>
      <c r="AW118" s="6"/>
      <c r="AX118" s="6"/>
      <c r="AY118" s="6">
        <v>699</v>
      </c>
      <c r="AZ118" s="6">
        <v>796</v>
      </c>
      <c r="BA118" s="6">
        <v>1312</v>
      </c>
      <c r="BB118" s="6">
        <v>2135</v>
      </c>
      <c r="BC118" s="6">
        <v>2756</v>
      </c>
      <c r="BD118" s="6">
        <v>2759</v>
      </c>
      <c r="BE118" s="6">
        <v>2758</v>
      </c>
      <c r="BF118" s="6">
        <v>2751</v>
      </c>
      <c r="BG118" s="6">
        <v>6583</v>
      </c>
      <c r="BH118" s="6">
        <v>6794</v>
      </c>
      <c r="BI118" s="6">
        <v>13017</v>
      </c>
      <c r="BJ118" s="6">
        <v>8437</v>
      </c>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row>
    <row r="119" spans="2:99" x14ac:dyDescent="0.25">
      <c r="B119" s="29" t="s">
        <v>131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f t="shared" ref="AK119:AL119" si="329">+SUM(AK112:AK118)</f>
        <v>366021</v>
      </c>
      <c r="AL119" s="6">
        <f t="shared" si="329"/>
        <v>395250</v>
      </c>
      <c r="AM119" s="6"/>
      <c r="AN119" s="6"/>
      <c r="AO119" s="6"/>
      <c r="AP119" s="6"/>
      <c r="AQ119" s="6"/>
      <c r="AR119" s="6"/>
      <c r="AS119" s="6"/>
      <c r="AT119" s="6"/>
      <c r="AU119" s="6"/>
      <c r="AV119" s="6"/>
      <c r="AW119" s="6"/>
      <c r="AX119" s="6"/>
      <c r="AY119" s="6">
        <f t="shared" ref="AY119:BJ119" si="330">+SUM(AY112:AY118)</f>
        <v>39966</v>
      </c>
      <c r="AZ119" s="6">
        <f t="shared" si="330"/>
        <v>49407</v>
      </c>
      <c r="BA119" s="6">
        <f t="shared" si="330"/>
        <v>64961</v>
      </c>
      <c r="BB119" s="6">
        <f t="shared" si="330"/>
        <v>84524</v>
      </c>
      <c r="BC119" s="6">
        <f t="shared" si="330"/>
        <v>97514</v>
      </c>
      <c r="BD119" s="6">
        <f t="shared" si="330"/>
        <v>133376</v>
      </c>
      <c r="BE119" s="6">
        <f t="shared" si="330"/>
        <v>159316</v>
      </c>
      <c r="BF119" s="6">
        <f t="shared" si="330"/>
        <v>165987</v>
      </c>
      <c r="BG119" s="6">
        <f t="shared" si="330"/>
        <v>185727</v>
      </c>
      <c r="BH119" s="6">
        <f t="shared" si="330"/>
        <v>229623</v>
      </c>
      <c r="BI119" s="6">
        <f t="shared" si="330"/>
        <v>276054</v>
      </c>
      <c r="BJ119" s="6">
        <f t="shared" si="330"/>
        <v>366021</v>
      </c>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row>
    <row r="120" spans="2:99" x14ac:dyDescent="0.25">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row>
    <row r="121" spans="2:99" x14ac:dyDescent="0.25">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row>
    <row r="122" spans="2:99" x14ac:dyDescent="0.25">
      <c r="B122" s="29" t="s">
        <v>98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v>8894</v>
      </c>
      <c r="AL122" s="6">
        <v>13326</v>
      </c>
      <c r="AM122" s="6"/>
      <c r="AN122" s="6"/>
      <c r="AO122" s="6"/>
      <c r="AP122" s="6"/>
      <c r="AQ122" s="6"/>
      <c r="AR122" s="6"/>
      <c r="AS122" s="6"/>
      <c r="AT122" s="6"/>
      <c r="AU122" s="6"/>
      <c r="AV122" s="6"/>
      <c r="AW122" s="6"/>
      <c r="AX122" s="6"/>
      <c r="AY122" s="6">
        <f>176+202</f>
        <v>378</v>
      </c>
      <c r="AZ122" s="6">
        <f>196+217</f>
        <v>413</v>
      </c>
      <c r="BA122" s="6">
        <f>302+280</f>
        <v>582</v>
      </c>
      <c r="BB122" s="6">
        <f>380+390</f>
        <v>770</v>
      </c>
      <c r="BC122" s="6">
        <f>820+541</f>
        <v>1361</v>
      </c>
      <c r="BD122" s="6">
        <f>1363+886</f>
        <v>2249</v>
      </c>
      <c r="BE122" s="30">
        <f>1331+1093</f>
        <v>2424</v>
      </c>
      <c r="BF122" s="6">
        <f>4083+1052</f>
        <v>5135</v>
      </c>
      <c r="BG122" s="6">
        <f>4990+1117</f>
        <v>6107</v>
      </c>
      <c r="BH122" s="6">
        <f>4849+863</f>
        <v>5712</v>
      </c>
      <c r="BI122" s="6">
        <v>7687</v>
      </c>
      <c r="BJ122" s="6">
        <v>8894</v>
      </c>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row>
    <row r="123" spans="2:99" x14ac:dyDescent="0.25">
      <c r="B123" s="29" t="s">
        <v>128</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v>2213</v>
      </c>
      <c r="AL123" s="6">
        <v>2414</v>
      </c>
      <c r="AM123" s="6"/>
      <c r="AN123" s="6"/>
      <c r="AO123" s="6"/>
      <c r="AP123" s="6"/>
      <c r="AQ123" s="6"/>
      <c r="AR123" s="6"/>
      <c r="AS123" s="6"/>
      <c r="AT123" s="6"/>
      <c r="AU123" s="6"/>
      <c r="AV123" s="6"/>
      <c r="AW123" s="6"/>
      <c r="AX123" s="6"/>
      <c r="AY123" s="6">
        <v>114</v>
      </c>
      <c r="AZ123" s="6">
        <v>7</v>
      </c>
      <c r="BA123" s="6">
        <v>2203</v>
      </c>
      <c r="BB123" s="6">
        <v>2892</v>
      </c>
      <c r="BC123" s="6">
        <v>0</v>
      </c>
      <c r="BD123" s="6">
        <v>800</v>
      </c>
      <c r="BE123" s="6">
        <v>1023</v>
      </c>
      <c r="BF123" s="6">
        <v>1127</v>
      </c>
      <c r="BG123" s="6">
        <v>1367</v>
      </c>
      <c r="BH123" s="6">
        <v>1623</v>
      </c>
      <c r="BI123" s="6">
        <v>1942</v>
      </c>
      <c r="BJ123" s="6">
        <v>2213</v>
      </c>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row>
    <row r="124" spans="2:99" x14ac:dyDescent="0.25">
      <c r="B124" s="29" t="s">
        <v>43</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v>30729</v>
      </c>
      <c r="AL124" s="6">
        <v>31013</v>
      </c>
      <c r="AM124" s="6"/>
      <c r="AN124" s="6"/>
      <c r="AO124" s="6"/>
      <c r="AP124" s="6"/>
      <c r="AQ124" s="6"/>
      <c r="AR124" s="6"/>
      <c r="AS124" s="6"/>
      <c r="AT124" s="6"/>
      <c r="AU124" s="6"/>
      <c r="AV124" s="6"/>
      <c r="AW124" s="6"/>
      <c r="AX124" s="6"/>
      <c r="AY124" s="6">
        <f>866+66</f>
        <v>932</v>
      </c>
      <c r="AZ124" s="6">
        <f>1449+56</f>
        <v>1505</v>
      </c>
      <c r="BA124" s="6">
        <v>90</v>
      </c>
      <c r="BB124" s="6">
        <v>98</v>
      </c>
      <c r="BC124" s="6">
        <f>5509+147</f>
        <v>5656</v>
      </c>
      <c r="BD124" s="6">
        <f>11735+269</f>
        <v>12004</v>
      </c>
      <c r="BE124" s="6">
        <f>11152+382</f>
        <v>11534</v>
      </c>
      <c r="BF124" s="6">
        <f>14312+561</f>
        <v>14873</v>
      </c>
      <c r="BG124" s="6">
        <v>19552</v>
      </c>
      <c r="BH124" s="6">
        <v>24625</v>
      </c>
      <c r="BI124" s="6">
        <v>23967</v>
      </c>
      <c r="BJ124" s="6">
        <v>30729</v>
      </c>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row>
    <row r="125" spans="2:99" x14ac:dyDescent="0.25">
      <c r="B125" s="29" t="s">
        <v>132</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f t="shared" ref="AK125:AL125" si="331">+SUM(AK122:AK124)</f>
        <v>41836</v>
      </c>
      <c r="AL125" s="6">
        <f t="shared" si="331"/>
        <v>46753</v>
      </c>
      <c r="AM125" s="6"/>
      <c r="AN125" s="6"/>
      <c r="AO125" s="6"/>
      <c r="AP125" s="6"/>
      <c r="AQ125" s="6"/>
      <c r="AR125" s="6"/>
      <c r="AS125" s="6"/>
      <c r="AT125" s="6"/>
      <c r="AU125" s="6"/>
      <c r="AV125" s="6"/>
      <c r="AW125" s="6"/>
      <c r="AX125" s="6"/>
      <c r="AY125" s="6">
        <f t="shared" ref="AY125:BJ125" si="332">+SUM(AY122:AY124)</f>
        <v>1424</v>
      </c>
      <c r="AZ125" s="6">
        <f t="shared" si="332"/>
        <v>1925</v>
      </c>
      <c r="BA125" s="6">
        <f t="shared" si="332"/>
        <v>2875</v>
      </c>
      <c r="BB125" s="6">
        <f t="shared" si="332"/>
        <v>3760</v>
      </c>
      <c r="BC125" s="6">
        <f t="shared" si="332"/>
        <v>7017</v>
      </c>
      <c r="BD125" s="6">
        <f t="shared" si="332"/>
        <v>15053</v>
      </c>
      <c r="BE125" s="6">
        <f t="shared" si="332"/>
        <v>14981</v>
      </c>
      <c r="BF125" s="6">
        <f t="shared" si="332"/>
        <v>21135</v>
      </c>
      <c r="BG125" s="6">
        <f t="shared" si="332"/>
        <v>27026</v>
      </c>
      <c r="BH125" s="6">
        <f t="shared" si="332"/>
        <v>31960</v>
      </c>
      <c r="BI125" s="6">
        <f t="shared" si="332"/>
        <v>33596</v>
      </c>
      <c r="BJ125" s="6">
        <f t="shared" si="332"/>
        <v>41836</v>
      </c>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row>
    <row r="126" spans="2:99" x14ac:dyDescent="0.25">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row>
    <row r="127" spans="2:99" x14ac:dyDescent="0.25">
      <c r="B127" s="29" t="s">
        <v>128</v>
      </c>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v>22940</v>
      </c>
      <c r="AL127" s="6">
        <v>25607</v>
      </c>
      <c r="AM127" s="6"/>
      <c r="AN127" s="6"/>
      <c r="AO127" s="6"/>
      <c r="AP127" s="6"/>
      <c r="AQ127" s="6"/>
      <c r="AR127" s="6"/>
      <c r="AS127" s="6"/>
      <c r="AT127" s="6"/>
      <c r="AU127" s="6"/>
      <c r="AV127" s="6"/>
      <c r="AW127" s="6"/>
      <c r="AX127" s="6"/>
      <c r="AY127" s="6">
        <v>119</v>
      </c>
      <c r="AZ127" s="6">
        <v>107</v>
      </c>
      <c r="BA127" s="30" t="s">
        <v>23</v>
      </c>
      <c r="BB127" s="30" t="s">
        <v>23</v>
      </c>
      <c r="BC127" s="30" t="s">
        <v>23</v>
      </c>
      <c r="BD127" s="6">
        <v>9524</v>
      </c>
      <c r="BE127" s="6">
        <v>9631</v>
      </c>
      <c r="BF127" s="6">
        <v>12746</v>
      </c>
      <c r="BG127" s="6">
        <v>15301</v>
      </c>
      <c r="BH127" s="6">
        <v>17226</v>
      </c>
      <c r="BI127" s="6">
        <v>18292</v>
      </c>
      <c r="BJ127" s="6">
        <v>22940</v>
      </c>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row>
    <row r="128" spans="2:99" x14ac:dyDescent="0.25">
      <c r="B128" s="29" t="s">
        <v>133</v>
      </c>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v>58744</v>
      </c>
      <c r="AL128" s="6">
        <v>58748</v>
      </c>
      <c r="AM128" s="6"/>
      <c r="AN128" s="6"/>
      <c r="AO128" s="6"/>
      <c r="AP128" s="6"/>
      <c r="AQ128" s="6"/>
      <c r="AR128" s="6"/>
      <c r="AS128" s="6"/>
      <c r="AT128" s="6"/>
      <c r="AU128" s="6"/>
      <c r="AV128" s="6"/>
      <c r="AW128" s="6"/>
      <c r="AX128" s="6"/>
      <c r="AY128" s="30" t="s">
        <v>23</v>
      </c>
      <c r="AZ128" s="30" t="s">
        <v>23</v>
      </c>
      <c r="BA128" s="6">
        <v>0</v>
      </c>
      <c r="BB128" s="6">
        <v>0</v>
      </c>
      <c r="BC128" s="6">
        <v>0</v>
      </c>
      <c r="BD128" s="6">
        <v>0</v>
      </c>
      <c r="BE128" s="6">
        <v>0</v>
      </c>
      <c r="BF128" s="6">
        <v>0</v>
      </c>
      <c r="BG128" s="6">
        <v>9923</v>
      </c>
      <c r="BH128" s="6">
        <v>18385</v>
      </c>
      <c r="BI128" s="6">
        <v>28826</v>
      </c>
      <c r="BJ128" s="6">
        <v>58744</v>
      </c>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row>
    <row r="129" spans="2:99" x14ac:dyDescent="0.25">
      <c r="B129" s="29" t="s">
        <v>134</v>
      </c>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v>21005</v>
      </c>
      <c r="AL129" s="6">
        <v>16849</v>
      </c>
      <c r="AM129" s="6"/>
      <c r="AN129" s="6"/>
      <c r="AO129" s="6"/>
      <c r="AP129" s="6"/>
      <c r="AQ129" s="6"/>
      <c r="AR129" s="6"/>
      <c r="AS129" s="6"/>
      <c r="AT129" s="6"/>
      <c r="AU129" s="6"/>
      <c r="AV129" s="6"/>
      <c r="AW129" s="6"/>
      <c r="AX129" s="6"/>
      <c r="AY129" s="30" t="s">
        <v>23</v>
      </c>
      <c r="AZ129" s="30" t="s">
        <v>23</v>
      </c>
      <c r="BA129" s="6">
        <v>0</v>
      </c>
      <c r="BB129" s="6">
        <v>0</v>
      </c>
      <c r="BC129" s="6">
        <v>0</v>
      </c>
      <c r="BD129" s="6">
        <v>0</v>
      </c>
      <c r="BE129" s="6">
        <v>0</v>
      </c>
      <c r="BF129" s="6">
        <v>0</v>
      </c>
      <c r="BG129" s="3">
        <v>0</v>
      </c>
      <c r="BH129" s="6">
        <v>0</v>
      </c>
      <c r="BI129" s="6">
        <v>9987</v>
      </c>
      <c r="BJ129" s="6">
        <v>21005</v>
      </c>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row>
    <row r="130" spans="2:99" x14ac:dyDescent="0.25">
      <c r="B130" s="29" t="s">
        <v>135</v>
      </c>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v>4253</v>
      </c>
      <c r="AL130" s="6">
        <v>3612</v>
      </c>
      <c r="AM130" s="6"/>
      <c r="AN130" s="6"/>
      <c r="AO130" s="6"/>
      <c r="AP130" s="6"/>
      <c r="AQ130" s="6"/>
      <c r="AR130" s="6"/>
      <c r="AS130" s="6"/>
      <c r="AT130" s="6"/>
      <c r="AU130" s="6"/>
      <c r="AV130" s="6"/>
      <c r="AW130" s="6"/>
      <c r="AX130" s="6"/>
      <c r="AY130" s="6">
        <v>2327</v>
      </c>
      <c r="AZ130" s="6">
        <v>3157</v>
      </c>
      <c r="BA130" s="6">
        <v>2892</v>
      </c>
      <c r="BB130" s="6">
        <v>6417</v>
      </c>
      <c r="BC130" s="6">
        <v>6190</v>
      </c>
      <c r="BD130" s="6">
        <v>7745</v>
      </c>
      <c r="BE130" s="6">
        <v>6414</v>
      </c>
      <c r="BF130" s="6">
        <v>7227</v>
      </c>
      <c r="BG130" s="6">
        <v>7764</v>
      </c>
      <c r="BH130" s="6">
        <v>8884</v>
      </c>
      <c r="BI130" s="6">
        <v>2716</v>
      </c>
      <c r="BJ130" s="6">
        <v>4253</v>
      </c>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row>
    <row r="131" spans="2:99" x14ac:dyDescent="0.25">
      <c r="B131" s="29" t="s">
        <v>136</v>
      </c>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f t="shared" ref="AK131:AL131" si="333">+SUM(AK125:AK130)</f>
        <v>148778</v>
      </c>
      <c r="AL131" s="6">
        <f t="shared" si="333"/>
        <v>151569</v>
      </c>
      <c r="AM131" s="6"/>
      <c r="AN131" s="6"/>
      <c r="AO131" s="6"/>
      <c r="AP131" s="6"/>
      <c r="AQ131" s="6"/>
      <c r="AR131" s="6"/>
      <c r="AS131" s="6"/>
      <c r="AT131" s="6"/>
      <c r="AU131" s="6"/>
      <c r="AV131" s="6"/>
      <c r="AW131" s="6"/>
      <c r="AX131" s="6"/>
      <c r="AY131" s="6">
        <f t="shared" ref="AY131:BJ131" si="334">+SUM(AY125:AY130)</f>
        <v>3870</v>
      </c>
      <c r="AZ131" s="6">
        <f t="shared" si="334"/>
        <v>5189</v>
      </c>
      <c r="BA131" s="6">
        <f t="shared" si="334"/>
        <v>5767</v>
      </c>
      <c r="BB131" s="6">
        <f t="shared" si="334"/>
        <v>10177</v>
      </c>
      <c r="BC131" s="6">
        <f t="shared" si="334"/>
        <v>13207</v>
      </c>
      <c r="BD131" s="6">
        <f t="shared" si="334"/>
        <v>32322</v>
      </c>
      <c r="BE131" s="6">
        <f t="shared" si="334"/>
        <v>31026</v>
      </c>
      <c r="BF131" s="6">
        <f t="shared" si="334"/>
        <v>41108</v>
      </c>
      <c r="BG131" s="6">
        <f t="shared" si="334"/>
        <v>60014</v>
      </c>
      <c r="BH131" s="6">
        <f t="shared" si="334"/>
        <v>76455</v>
      </c>
      <c r="BI131" s="6">
        <f t="shared" si="334"/>
        <v>93417</v>
      </c>
      <c r="BJ131" s="6">
        <f t="shared" si="334"/>
        <v>148778</v>
      </c>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row>
    <row r="132" spans="2:99" x14ac:dyDescent="0.25">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row>
    <row r="133" spans="2:99" x14ac:dyDescent="0.25">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row>
    <row r="134" spans="2:99" x14ac:dyDescent="0.25">
      <c r="B134" s="29" t="s">
        <v>139</v>
      </c>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30" t="s">
        <v>23</v>
      </c>
      <c r="AL134" s="30" t="s">
        <v>23</v>
      </c>
      <c r="AM134" s="6"/>
      <c r="AN134" s="6"/>
      <c r="AO134" s="6"/>
      <c r="AP134" s="6"/>
      <c r="AQ134" s="6"/>
      <c r="AR134" s="6"/>
      <c r="AS134" s="6"/>
      <c r="AT134" s="6"/>
      <c r="AU134" s="6"/>
      <c r="AV134" s="6"/>
      <c r="AW134" s="6"/>
      <c r="AX134" s="6"/>
      <c r="AY134" s="30" t="s">
        <v>23</v>
      </c>
      <c r="AZ134" s="30" t="s">
        <v>23</v>
      </c>
      <c r="BA134" s="30" t="s">
        <v>23</v>
      </c>
      <c r="BB134" s="30" t="s">
        <v>23</v>
      </c>
      <c r="BC134" s="30" t="s">
        <v>23</v>
      </c>
      <c r="BD134" s="30" t="s">
        <v>23</v>
      </c>
      <c r="BE134" s="30" t="s">
        <v>23</v>
      </c>
      <c r="BF134" s="30" t="s">
        <v>23</v>
      </c>
      <c r="BG134" s="30" t="s">
        <v>23</v>
      </c>
      <c r="BH134" s="30" t="s">
        <v>23</v>
      </c>
      <c r="BI134" s="30" t="s">
        <v>23</v>
      </c>
      <c r="BJ134" s="30" t="s">
        <v>23</v>
      </c>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row>
    <row r="135" spans="2:99" x14ac:dyDescent="0.25">
      <c r="B135" s="29" t="s">
        <v>140</v>
      </c>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v>95793</v>
      </c>
      <c r="AL135" s="6">
        <v>99337</v>
      </c>
      <c r="AM135" s="6"/>
      <c r="AN135" s="6"/>
      <c r="AO135" s="6"/>
      <c r="AP135" s="6"/>
      <c r="AQ135" s="6"/>
      <c r="AR135" s="6"/>
      <c r="AS135" s="6"/>
      <c r="AT135" s="6"/>
      <c r="AU135" s="6"/>
      <c r="AV135" s="6"/>
      <c r="AW135" s="6"/>
      <c r="AX135" s="6"/>
      <c r="AY135" s="6">
        <v>30225</v>
      </c>
      <c r="AZ135" s="6">
        <v>34886</v>
      </c>
      <c r="BA135" s="6">
        <v>38227</v>
      </c>
      <c r="BB135" s="6">
        <v>40584</v>
      </c>
      <c r="BC135" s="6">
        <v>42906</v>
      </c>
      <c r="BD135" s="6">
        <v>45851</v>
      </c>
      <c r="BE135" s="6">
        <v>50018</v>
      </c>
      <c r="BF135" s="6">
        <v>55811</v>
      </c>
      <c r="BG135" s="6">
        <v>64444</v>
      </c>
      <c r="BH135" s="6">
        <v>73253</v>
      </c>
      <c r="BI135" s="6">
        <v>83228</v>
      </c>
      <c r="BJ135" s="6">
        <v>95793</v>
      </c>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row>
    <row r="136" spans="2:99" x14ac:dyDescent="0.25">
      <c r="B136" s="29" t="s">
        <v>141</v>
      </c>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v>271</v>
      </c>
      <c r="AL136" s="6">
        <v>-303</v>
      </c>
      <c r="AM136" s="6"/>
      <c r="AN136" s="6"/>
      <c r="AO136" s="6"/>
      <c r="AP136" s="6"/>
      <c r="AQ136" s="6"/>
      <c r="AR136" s="6"/>
      <c r="AS136" s="6"/>
      <c r="AT136" s="6"/>
      <c r="AU136" s="6"/>
      <c r="AV136" s="6"/>
      <c r="AW136" s="6"/>
      <c r="AX136" s="6"/>
      <c r="AY136" s="6">
        <v>-228</v>
      </c>
      <c r="AZ136" s="6">
        <v>-455</v>
      </c>
      <c r="BA136" s="6">
        <v>-703</v>
      </c>
      <c r="BB136" s="6">
        <v>-227</v>
      </c>
      <c r="BC136" s="6">
        <v>-760</v>
      </c>
      <c r="BD136" s="6">
        <v>-489</v>
      </c>
      <c r="BE136" s="6">
        <v>927</v>
      </c>
      <c r="BF136" s="6">
        <v>-693</v>
      </c>
      <c r="BG136" s="6">
        <v>-3530</v>
      </c>
      <c r="BH136" s="6">
        <v>-2155</v>
      </c>
      <c r="BI136" s="6">
        <v>-3097</v>
      </c>
      <c r="BJ136" s="6">
        <v>271</v>
      </c>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row>
    <row r="137" spans="2:99" x14ac:dyDescent="0.25">
      <c r="B137" s="29" t="s">
        <v>142</v>
      </c>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v>121179</v>
      </c>
      <c r="AL137" s="6">
        <v>144647</v>
      </c>
      <c r="AM137" s="6"/>
      <c r="AN137" s="6"/>
      <c r="AO137" s="6"/>
      <c r="AP137" s="6"/>
      <c r="AQ137" s="6"/>
      <c r="AR137" s="6"/>
      <c r="AS137" s="6"/>
      <c r="AT137" s="6"/>
      <c r="AU137" s="6"/>
      <c r="AV137" s="6"/>
      <c r="AW137" s="6"/>
      <c r="AX137" s="6"/>
      <c r="AY137" s="6">
        <v>6099</v>
      </c>
      <c r="AZ137" s="6">
        <v>9787</v>
      </c>
      <c r="BA137" s="6">
        <v>21670</v>
      </c>
      <c r="BB137" s="6">
        <v>33990</v>
      </c>
      <c r="BC137" s="6">
        <v>41981</v>
      </c>
      <c r="BD137" s="6">
        <v>55692</v>
      </c>
      <c r="BE137" s="6">
        <v>77345</v>
      </c>
      <c r="BF137" s="6">
        <v>69761</v>
      </c>
      <c r="BG137" s="6">
        <v>64799</v>
      </c>
      <c r="BH137" s="6">
        <v>82070</v>
      </c>
      <c r="BI137" s="6">
        <v>102506</v>
      </c>
      <c r="BJ137" s="6">
        <v>121179</v>
      </c>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row>
    <row r="138" spans="2:99" x14ac:dyDescent="0.25">
      <c r="B138" s="29" t="s">
        <v>138</v>
      </c>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f t="shared" ref="AK138" si="335">+SUM(AK134:AK137)</f>
        <v>217243</v>
      </c>
      <c r="AL138" s="6">
        <v>243681</v>
      </c>
      <c r="AM138" s="6"/>
      <c r="AN138" s="6"/>
      <c r="AO138" s="6"/>
      <c r="AP138" s="6"/>
      <c r="AQ138" s="6"/>
      <c r="AR138" s="6"/>
      <c r="AS138" s="6"/>
      <c r="AT138" s="6"/>
      <c r="AU138" s="6"/>
      <c r="AV138" s="6"/>
      <c r="AW138" s="6"/>
      <c r="AX138" s="6"/>
      <c r="AY138" s="6">
        <f t="shared" ref="AY138:BJ138" si="336">+SUM(AY134:AY137)</f>
        <v>36096</v>
      </c>
      <c r="AZ138" s="6">
        <f t="shared" si="336"/>
        <v>44218</v>
      </c>
      <c r="BA138" s="6">
        <f t="shared" si="336"/>
        <v>59194</v>
      </c>
      <c r="BB138" s="6">
        <f t="shared" si="336"/>
        <v>74347</v>
      </c>
      <c r="BC138" s="6">
        <f t="shared" si="336"/>
        <v>84127</v>
      </c>
      <c r="BD138" s="6">
        <f t="shared" si="336"/>
        <v>101054</v>
      </c>
      <c r="BE138" s="6">
        <f t="shared" si="336"/>
        <v>128290</v>
      </c>
      <c r="BF138" s="6">
        <f t="shared" si="336"/>
        <v>124879</v>
      </c>
      <c r="BG138" s="6">
        <f t="shared" si="336"/>
        <v>125713</v>
      </c>
      <c r="BH138" s="6">
        <f t="shared" si="336"/>
        <v>153168</v>
      </c>
      <c r="BI138" s="6">
        <f t="shared" si="336"/>
        <v>182637</v>
      </c>
      <c r="BJ138" s="6">
        <f t="shared" si="336"/>
        <v>217243</v>
      </c>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row>
    <row r="139" spans="2:99" x14ac:dyDescent="0.25">
      <c r="B139" s="29" t="s">
        <v>137</v>
      </c>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f t="shared" ref="AK139:AL139" si="337">+AK138+AK131</f>
        <v>366021</v>
      </c>
      <c r="AL139" s="6">
        <f t="shared" si="337"/>
        <v>395250</v>
      </c>
      <c r="AM139" s="6"/>
      <c r="AN139" s="6"/>
      <c r="AO139" s="6"/>
      <c r="AP139" s="6"/>
      <c r="AQ139" s="6"/>
      <c r="AR139" s="6"/>
      <c r="AS139" s="6"/>
      <c r="AT139" s="6"/>
      <c r="AU139" s="6"/>
      <c r="AV139" s="6"/>
      <c r="AW139" s="6"/>
      <c r="AX139" s="6"/>
      <c r="AY139" s="6">
        <f t="shared" ref="AY139:BJ139" si="338">+AY138+AY131</f>
        <v>39966</v>
      </c>
      <c r="AZ139" s="6">
        <f t="shared" si="338"/>
        <v>49407</v>
      </c>
      <c r="BA139" s="6">
        <f t="shared" si="338"/>
        <v>64961</v>
      </c>
      <c r="BB139" s="6">
        <f t="shared" si="338"/>
        <v>84524</v>
      </c>
      <c r="BC139" s="6">
        <f t="shared" si="338"/>
        <v>97334</v>
      </c>
      <c r="BD139" s="6">
        <f t="shared" si="338"/>
        <v>133376</v>
      </c>
      <c r="BE139" s="6">
        <f t="shared" si="338"/>
        <v>159316</v>
      </c>
      <c r="BF139" s="6">
        <f t="shared" si="338"/>
        <v>165987</v>
      </c>
      <c r="BG139" s="6">
        <f t="shared" si="338"/>
        <v>185727</v>
      </c>
      <c r="BH139" s="6">
        <f t="shared" si="338"/>
        <v>229623</v>
      </c>
      <c r="BI139" s="6">
        <f t="shared" si="338"/>
        <v>276054</v>
      </c>
      <c r="BJ139" s="6">
        <f t="shared" si="338"/>
        <v>366021</v>
      </c>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row>
    <row r="140" spans="2:99" x14ac:dyDescent="0.25">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row>
    <row r="141" spans="2:99" x14ac:dyDescent="0.25">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row>
    <row r="142" spans="2:99" x14ac:dyDescent="0.25">
      <c r="B142" s="29" t="s">
        <v>148</v>
      </c>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30" t="s">
        <v>23</v>
      </c>
      <c r="AL142" s="30" t="s">
        <v>23</v>
      </c>
      <c r="AM142" s="6"/>
      <c r="AN142" s="6"/>
      <c r="AO142" s="6"/>
      <c r="AP142" s="6"/>
      <c r="AQ142" s="6"/>
      <c r="AR142" s="6"/>
      <c r="AS142" s="6"/>
      <c r="AT142" s="6"/>
      <c r="AU142" s="6"/>
      <c r="AV142" s="6"/>
      <c r="AW142" s="6"/>
      <c r="AX142" s="6"/>
      <c r="AY142" s="30" t="s">
        <v>23</v>
      </c>
      <c r="AZ142" s="30" t="s">
        <v>23</v>
      </c>
      <c r="BA142" s="30" t="s">
        <v>23</v>
      </c>
      <c r="BB142" s="30" t="s">
        <v>23</v>
      </c>
      <c r="BC142" s="30" t="s">
        <v>23</v>
      </c>
      <c r="BD142" s="30" t="s">
        <v>23</v>
      </c>
      <c r="BE142" s="30" t="s">
        <v>23</v>
      </c>
      <c r="BF142" s="30" t="s">
        <v>23</v>
      </c>
      <c r="BG142" s="30" t="s">
        <v>23</v>
      </c>
      <c r="BH142" s="30" t="s">
        <v>23</v>
      </c>
      <c r="BI142" s="30" t="s">
        <v>23</v>
      </c>
      <c r="BJ142" s="30" t="s">
        <v>23</v>
      </c>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row>
    <row r="143" spans="2:99" x14ac:dyDescent="0.25">
      <c r="B143" s="29" t="s">
        <v>77</v>
      </c>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f t="shared" ref="AK143" si="339">+AK115</f>
        <v>176400</v>
      </c>
      <c r="AL143" s="6">
        <f t="shared" ref="AL143" si="340">+AL115</f>
        <v>194776</v>
      </c>
      <c r="AM143" s="6"/>
      <c r="AN143" s="6"/>
      <c r="AO143" s="6"/>
      <c r="AP143" s="6"/>
      <c r="AQ143" s="6"/>
      <c r="AR143" s="6"/>
      <c r="AS143" s="6"/>
      <c r="AT143" s="6"/>
      <c r="AU143" s="6"/>
      <c r="AV143" s="6"/>
      <c r="AW143" s="6"/>
      <c r="AX143" s="6"/>
      <c r="AY143" s="6">
        <f t="shared" ref="AY143:BJ143" si="341">+AY115</f>
        <v>3967</v>
      </c>
      <c r="AZ143" s="6">
        <f t="shared" si="341"/>
        <v>5687</v>
      </c>
      <c r="BA143" s="6">
        <f t="shared" si="341"/>
        <v>8591</v>
      </c>
      <c r="BB143" s="6">
        <f t="shared" si="341"/>
        <v>13721</v>
      </c>
      <c r="BC143" s="6">
        <f t="shared" si="341"/>
        <v>24683</v>
      </c>
      <c r="BD143" s="6">
        <f t="shared" si="341"/>
        <v>35323</v>
      </c>
      <c r="BE143" s="6">
        <f t="shared" si="341"/>
        <v>45633</v>
      </c>
      <c r="BF143" s="6">
        <f t="shared" si="341"/>
        <v>57809</v>
      </c>
      <c r="BG143" s="6">
        <f t="shared" si="341"/>
        <v>79518</v>
      </c>
      <c r="BH143" s="6">
        <f t="shared" si="341"/>
        <v>96587</v>
      </c>
      <c r="BI143" s="6">
        <f t="shared" si="341"/>
        <v>121346</v>
      </c>
      <c r="BJ143" s="6">
        <f t="shared" si="341"/>
        <v>176400</v>
      </c>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row>
    <row r="144" spans="2:99" x14ac:dyDescent="0.25">
      <c r="B144" s="29" t="s">
        <v>147</v>
      </c>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f t="shared" ref="AK144" si="342">+SUM(AK142:AK143)</f>
        <v>176400</v>
      </c>
      <c r="AL144" s="6">
        <f t="shared" ref="AL144" si="343">+SUM(AL142:AL143)</f>
        <v>194776</v>
      </c>
      <c r="AM144" s="6"/>
      <c r="AN144" s="6"/>
      <c r="AO144" s="6"/>
      <c r="AP144" s="6"/>
      <c r="AQ144" s="6"/>
      <c r="AR144" s="6"/>
      <c r="AS144" s="6"/>
      <c r="AT144" s="6"/>
      <c r="AU144" s="6"/>
      <c r="AV144" s="6"/>
      <c r="AW144" s="6"/>
      <c r="AX144" s="6"/>
      <c r="AY144" s="6">
        <f t="shared" ref="AY144:BJ144" si="344">+SUM(AY142:AY143)</f>
        <v>3967</v>
      </c>
      <c r="AZ144" s="6">
        <f t="shared" si="344"/>
        <v>5687</v>
      </c>
      <c r="BA144" s="6">
        <f t="shared" si="344"/>
        <v>8591</v>
      </c>
      <c r="BB144" s="6">
        <f t="shared" si="344"/>
        <v>13721</v>
      </c>
      <c r="BC144" s="6">
        <f t="shared" si="344"/>
        <v>24683</v>
      </c>
      <c r="BD144" s="6">
        <f t="shared" si="344"/>
        <v>35323</v>
      </c>
      <c r="BE144" s="6">
        <f t="shared" si="344"/>
        <v>45633</v>
      </c>
      <c r="BF144" s="6">
        <f t="shared" si="344"/>
        <v>57809</v>
      </c>
      <c r="BG144" s="6">
        <f t="shared" si="344"/>
        <v>79518</v>
      </c>
      <c r="BH144" s="6">
        <f t="shared" si="344"/>
        <v>96587</v>
      </c>
      <c r="BI144" s="6">
        <f t="shared" si="344"/>
        <v>121346</v>
      </c>
      <c r="BJ144" s="6">
        <f t="shared" si="344"/>
        <v>176400</v>
      </c>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row>
    <row r="145" spans="2:99" x14ac:dyDescent="0.25">
      <c r="B145" s="29" t="s">
        <v>149</v>
      </c>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7">
        <f t="shared" ref="AK145" si="345">+AK37/AK144</f>
        <v>0.12907029478458049</v>
      </c>
      <c r="AL145" s="7">
        <f t="shared" ref="AL145" si="346">+AL37/AL144</f>
        <v>9.60422228611328E-2</v>
      </c>
      <c r="AM145" s="6"/>
      <c r="AN145" s="6"/>
      <c r="AO145" s="6"/>
      <c r="AP145" s="6"/>
      <c r="AQ145" s="6"/>
      <c r="AR145" s="6"/>
      <c r="AS145" s="6"/>
      <c r="AT145" s="6"/>
      <c r="AU145" s="6"/>
      <c r="AV145" s="6"/>
      <c r="AW145" s="6"/>
      <c r="AX145" s="6"/>
      <c r="AY145" s="7">
        <f t="shared" ref="AY145:BJ145" si="347">+AY37/AY144</f>
        <v>0.74111419208469875</v>
      </c>
      <c r="AZ145" s="7">
        <f t="shared" si="347"/>
        <v>0.6484965711271321</v>
      </c>
      <c r="BA145" s="7">
        <f t="shared" si="347"/>
        <v>1.1892678384355722</v>
      </c>
      <c r="BB145" s="7">
        <f t="shared" si="347"/>
        <v>1.1612856205815902</v>
      </c>
      <c r="BC145" s="7">
        <f t="shared" si="347"/>
        <v>0.89583924158327599</v>
      </c>
      <c r="BD145" s="7">
        <f t="shared" si="347"/>
        <v>0.52586133680604707</v>
      </c>
      <c r="BE145" s="7">
        <f t="shared" si="347"/>
        <v>0.63870444634365486</v>
      </c>
      <c r="BF145" s="7">
        <f t="shared" si="347"/>
        <v>0.68103582487155978</v>
      </c>
      <c r="BG145" s="7">
        <f t="shared" si="347"/>
        <v>0.29175784099197666</v>
      </c>
      <c r="BH145" s="7">
        <f t="shared" si="347"/>
        <v>0.40479567643678754</v>
      </c>
      <c r="BI145" s="7">
        <f t="shared" si="347"/>
        <v>0.51390239480493793</v>
      </c>
      <c r="BJ145" s="7">
        <f t="shared" si="347"/>
        <v>0.43303287981859412</v>
      </c>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row>
    <row r="146" spans="2:99" x14ac:dyDescent="0.25">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row>
    <row r="147" spans="2:99" x14ac:dyDescent="0.25">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row>
    <row r="148" spans="2:99" x14ac:dyDescent="0.25">
      <c r="B148" s="35" t="s">
        <v>169</v>
      </c>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35"/>
      <c r="AL148" s="35"/>
      <c r="AM148" s="6"/>
      <c r="AN148" s="6"/>
      <c r="AO148" s="6"/>
      <c r="AP148" s="6"/>
      <c r="AQ148" s="6"/>
      <c r="AR148" s="6"/>
      <c r="AS148" s="6"/>
      <c r="AT148" s="6"/>
      <c r="AU148" s="6"/>
      <c r="AV148" s="6"/>
      <c r="AW148" s="6"/>
      <c r="AX148" s="6"/>
      <c r="AY148" s="6"/>
      <c r="AZ148" s="6"/>
      <c r="BA148" s="6"/>
      <c r="BB148" s="7"/>
      <c r="BC148" s="7"/>
      <c r="BD148" s="7"/>
      <c r="BE148" s="7"/>
      <c r="BF148" s="7"/>
      <c r="BG148" s="7"/>
      <c r="BH148" s="35">
        <f>+(BH149/AY149)^(0.1)-1</f>
        <v>0.15728573632345388</v>
      </c>
      <c r="BI148" s="35">
        <f>+(BI149/AZ149)^(0.1)-1</f>
        <v>0.16407407087988468</v>
      </c>
      <c r="BJ148" s="35">
        <f>+(BJ149/BA149)^(0.1)-1</f>
        <v>0.15343110913989944</v>
      </c>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row>
    <row r="149" spans="2:99" x14ac:dyDescent="0.25">
      <c r="B149" s="29" t="s">
        <v>28</v>
      </c>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15">
        <f t="shared" ref="AK149" si="348">+AK150/AK39</f>
        <v>86.036831683168316</v>
      </c>
      <c r="AL149" s="15">
        <f t="shared" ref="AL149" si="349">+AL150/AL39</f>
        <v>85.731254932912393</v>
      </c>
      <c r="AM149" s="6"/>
      <c r="AN149" s="6"/>
      <c r="AO149" s="6"/>
      <c r="AP149" s="6"/>
      <c r="AQ149" s="6"/>
      <c r="AR149" s="6"/>
      <c r="AS149" s="6"/>
      <c r="AT149" s="6"/>
      <c r="AU149" s="6"/>
      <c r="AV149" s="6"/>
      <c r="AW149" s="6"/>
      <c r="AX149" s="6"/>
      <c r="AY149" s="15">
        <f t="shared" ref="AY149:BJ149" si="350">+AY150/AY39</f>
        <v>13.808722264728386</v>
      </c>
      <c r="AZ149" s="15">
        <f t="shared" si="350"/>
        <v>15.775240813414198</v>
      </c>
      <c r="BA149" s="15">
        <f t="shared" si="350"/>
        <v>20.675515193852601</v>
      </c>
      <c r="BB149" s="15">
        <f t="shared" si="350"/>
        <v>25.628059289900033</v>
      </c>
      <c r="BC149" s="15">
        <f t="shared" si="350"/>
        <v>29.109688581314877</v>
      </c>
      <c r="BD149" s="15">
        <f t="shared" si="350"/>
        <v>35.407848633496847</v>
      </c>
      <c r="BE149" s="15">
        <f t="shared" si="350"/>
        <v>44.998246229393196</v>
      </c>
      <c r="BF149" s="15">
        <f t="shared" si="350"/>
        <v>44.361989342806396</v>
      </c>
      <c r="BG149" s="15">
        <f t="shared" si="350"/>
        <v>46.78563453665798</v>
      </c>
      <c r="BH149" s="15">
        <f t="shared" si="350"/>
        <v>59.505827505827504</v>
      </c>
      <c r="BI149" s="15">
        <f t="shared" si="350"/>
        <v>72.074585635359114</v>
      </c>
      <c r="BJ149" s="15">
        <f t="shared" si="350"/>
        <v>86.173343911146375</v>
      </c>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row>
    <row r="150" spans="2:99" x14ac:dyDescent="0.25">
      <c r="B150" s="23" t="s">
        <v>123</v>
      </c>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v>217243</v>
      </c>
      <c r="AL150" s="6">
        <v>217243</v>
      </c>
      <c r="AM150" s="6"/>
      <c r="AN150" s="6"/>
      <c r="AO150" s="6"/>
      <c r="AP150" s="6"/>
      <c r="AQ150" s="6"/>
      <c r="AR150" s="6"/>
      <c r="AS150" s="6"/>
      <c r="AT150" s="6"/>
      <c r="AU150" s="6"/>
      <c r="AV150" s="6"/>
      <c r="AW150" s="6"/>
      <c r="AX150" s="6"/>
      <c r="AY150" s="6">
        <f t="shared" ref="AY150:BG150" si="351">+AY138</f>
        <v>36096</v>
      </c>
      <c r="AZ150" s="6">
        <f t="shared" si="351"/>
        <v>44218</v>
      </c>
      <c r="BA150" s="6">
        <f t="shared" si="351"/>
        <v>59194</v>
      </c>
      <c r="BB150" s="6">
        <f t="shared" si="351"/>
        <v>74347</v>
      </c>
      <c r="BC150" s="6">
        <f t="shared" si="351"/>
        <v>84127</v>
      </c>
      <c r="BD150" s="6">
        <f t="shared" si="351"/>
        <v>101054</v>
      </c>
      <c r="BE150" s="6">
        <f t="shared" si="351"/>
        <v>128290</v>
      </c>
      <c r="BF150" s="6">
        <f t="shared" si="351"/>
        <v>124879</v>
      </c>
      <c r="BG150" s="6">
        <f t="shared" si="351"/>
        <v>125713</v>
      </c>
      <c r="BH150" s="6">
        <v>153168</v>
      </c>
      <c r="BI150" s="6">
        <v>182637</v>
      </c>
      <c r="BJ150" s="6">
        <v>217243</v>
      </c>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row>
    <row r="151" spans="2:99" x14ac:dyDescent="0.25">
      <c r="B151" s="23" t="s">
        <v>122</v>
      </c>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7">
        <f t="shared" ref="AK151" si="352">+AK37/AK150</f>
        <v>0.10480429749174887</v>
      </c>
      <c r="AL151" s="7">
        <f t="shared" ref="AL151" si="353">+AL37/AL150</f>
        <v>8.61096560073282E-2</v>
      </c>
      <c r="AM151" s="6"/>
      <c r="AN151" s="6"/>
      <c r="AO151" s="6"/>
      <c r="AP151" s="6"/>
      <c r="AQ151" s="6"/>
      <c r="AR151" s="6"/>
      <c r="AS151" s="6"/>
      <c r="AT151" s="6"/>
      <c r="AU151" s="6"/>
      <c r="AV151" s="6"/>
      <c r="AW151" s="6"/>
      <c r="AX151" s="6"/>
      <c r="AY151" s="7">
        <f t="shared" ref="AY151:BJ151" si="354">+AY37/AY150</f>
        <v>8.1449468085106377E-2</v>
      </c>
      <c r="AZ151" s="7">
        <f t="shared" si="354"/>
        <v>8.340494821113574E-2</v>
      </c>
      <c r="BA151" s="7">
        <f t="shared" si="354"/>
        <v>0.17260195290063182</v>
      </c>
      <c r="BB151" s="7">
        <f t="shared" si="354"/>
        <v>0.21431934039033182</v>
      </c>
      <c r="BC151" s="7">
        <f t="shared" si="354"/>
        <v>0.26284070512439528</v>
      </c>
      <c r="BD151" s="7">
        <f t="shared" si="354"/>
        <v>0.18381261503750471</v>
      </c>
      <c r="BE151" s="7">
        <f t="shared" si="354"/>
        <v>0.22718840127835374</v>
      </c>
      <c r="BF151" s="7">
        <f t="shared" si="354"/>
        <v>0.31526517669103693</v>
      </c>
      <c r="BG151" s="7">
        <f t="shared" si="354"/>
        <v>0.18454734196145187</v>
      </c>
      <c r="BH151" s="7">
        <f t="shared" si="354"/>
        <v>0.25526219575890524</v>
      </c>
      <c r="BI151" s="7">
        <f t="shared" si="354"/>
        <v>0.34144231453648494</v>
      </c>
      <c r="BJ151" s="7">
        <f t="shared" si="354"/>
        <v>0.35162007521531191</v>
      </c>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row>
    <row r="152" spans="2:99" x14ac:dyDescent="0.25">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row>
    <row r="153" spans="2:99" x14ac:dyDescent="0.25">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row>
    <row r="154" spans="2:99" x14ac:dyDescent="0.25">
      <c r="B154" s="29" t="s">
        <v>150</v>
      </c>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f t="shared" ref="AK154" si="355">+SUM(AK110)-AK122</f>
        <v>10875</v>
      </c>
      <c r="AL154" s="6">
        <f t="shared" ref="AL154" si="356">+SUM(AL110)-AL122</f>
        <v>4144</v>
      </c>
      <c r="AM154" s="6"/>
      <c r="AN154" s="6"/>
      <c r="AO154" s="6"/>
      <c r="AP154" s="6"/>
      <c r="AQ154" s="6"/>
      <c r="AR154" s="6"/>
      <c r="AS154" s="6"/>
      <c r="AT154" s="6"/>
      <c r="AU154" s="6"/>
      <c r="AV154" s="6"/>
      <c r="AW154" s="6"/>
      <c r="AX154" s="6"/>
      <c r="AY154" s="6">
        <f t="shared" ref="AY154:BJ154" si="357">+SUM(AY110)-AY122</f>
        <v>1300</v>
      </c>
      <c r="AZ154" s="6">
        <f t="shared" si="357"/>
        <v>2146</v>
      </c>
      <c r="BA154" s="6">
        <f t="shared" si="357"/>
        <v>3411</v>
      </c>
      <c r="BB154" s="6">
        <f t="shared" si="357"/>
        <v>5062</v>
      </c>
      <c r="BC154" s="6">
        <f t="shared" si="357"/>
        <v>6226</v>
      </c>
      <c r="BD154" s="6">
        <f t="shared" si="357"/>
        <v>7269</v>
      </c>
      <c r="BE154" s="6">
        <f t="shared" si="357"/>
        <v>8911</v>
      </c>
      <c r="BF154" s="6">
        <f t="shared" si="357"/>
        <v>8904</v>
      </c>
      <c r="BG154" s="6">
        <f t="shared" si="357"/>
        <v>7359</v>
      </c>
      <c r="BH154" s="6">
        <f t="shared" si="357"/>
        <v>10457</v>
      </c>
      <c r="BI154" s="6">
        <f t="shared" si="357"/>
        <v>9307</v>
      </c>
      <c r="BJ154" s="6">
        <f t="shared" si="357"/>
        <v>10875</v>
      </c>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row>
    <row r="155" spans="2:99" x14ac:dyDescent="0.25">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row>
    <row r="156" spans="2:99" x14ac:dyDescent="0.25">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row>
    <row r="157" spans="2:99" x14ac:dyDescent="0.25">
      <c r="B157" s="29" t="s">
        <v>143</v>
      </c>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f t="shared" ref="AK157" si="358">+SUM(AK138,AK127:AK128,AK123:AK124)-AK108</f>
        <v>295996</v>
      </c>
      <c r="AL157" s="6">
        <f t="shared" ref="AL157" si="359">+SUM(AL138,AL127:AL128,AL123:AL124)-AL108</f>
        <v>338037</v>
      </c>
      <c r="AM157" s="6"/>
      <c r="AN157" s="6"/>
      <c r="AO157" s="6"/>
      <c r="AP157" s="6"/>
      <c r="AQ157" s="6"/>
      <c r="AR157" s="6"/>
      <c r="AS157" s="6"/>
      <c r="AT157" s="6"/>
      <c r="AU157" s="6"/>
      <c r="AV157" s="6"/>
      <c r="AW157" s="6"/>
      <c r="AX157" s="6"/>
      <c r="AY157" s="6">
        <f t="shared" ref="AY157:BJ157" si="360">+SUM(AY138,AY127:AY128,AY123:AY124)-AY108</f>
        <v>32946</v>
      </c>
      <c r="AZ157" s="6">
        <f t="shared" si="360"/>
        <v>40930</v>
      </c>
      <c r="BA157" s="6">
        <f t="shared" si="360"/>
        <v>52584</v>
      </c>
      <c r="BB157" s="6">
        <f t="shared" si="360"/>
        <v>69258</v>
      </c>
      <c r="BC157" s="6">
        <f t="shared" si="360"/>
        <v>79764</v>
      </c>
      <c r="BD157" s="6">
        <f t="shared" si="360"/>
        <v>104303</v>
      </c>
      <c r="BE157" s="6">
        <f t="shared" si="360"/>
        <v>132902</v>
      </c>
      <c r="BF157" s="6">
        <f t="shared" si="360"/>
        <v>137024</v>
      </c>
      <c r="BG157" s="6">
        <f t="shared" si="360"/>
        <v>157175</v>
      </c>
      <c r="BH157" s="6">
        <f t="shared" si="360"/>
        <v>173165</v>
      </c>
      <c r="BI157" s="6">
        <f t="shared" si="360"/>
        <v>211775</v>
      </c>
      <c r="BJ157" s="6">
        <f t="shared" si="360"/>
        <v>295996</v>
      </c>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row>
    <row r="158" spans="2:99" x14ac:dyDescent="0.25">
      <c r="B158" s="29" t="s">
        <v>144</v>
      </c>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7">
        <f t="shared" ref="AK158" si="361">+AK37/AK157</f>
        <v>7.6919958377815914E-2</v>
      </c>
      <c r="AL158" s="7">
        <f t="shared" ref="AL158" si="362">+AL37/AL157</f>
        <v>5.533926759496742E-2</v>
      </c>
      <c r="AM158" s="6"/>
      <c r="AN158" s="6"/>
      <c r="AO158" s="6"/>
      <c r="AP158" s="6"/>
      <c r="AQ158" s="6"/>
      <c r="AR158" s="6"/>
      <c r="AS158" s="6"/>
      <c r="AT158" s="6"/>
      <c r="AU158" s="6"/>
      <c r="AV158" s="6"/>
      <c r="AW158" s="6"/>
      <c r="AX158" s="6"/>
      <c r="AY158" s="7">
        <f t="shared" ref="AY158:BJ158" si="363">+AY37/AY157</f>
        <v>8.923693316335822E-2</v>
      </c>
      <c r="AZ158" s="7">
        <f t="shared" si="363"/>
        <v>9.0105057415098944E-2</v>
      </c>
      <c r="BA158" s="7">
        <f t="shared" si="363"/>
        <v>0.19429864597596228</v>
      </c>
      <c r="BB158" s="7">
        <f t="shared" si="363"/>
        <v>0.23006728464581708</v>
      </c>
      <c r="BC158" s="7">
        <f t="shared" si="363"/>
        <v>0.27721779248783912</v>
      </c>
      <c r="BD158" s="7">
        <f t="shared" si="363"/>
        <v>0.17808691983931429</v>
      </c>
      <c r="BE158" s="7">
        <f t="shared" si="363"/>
        <v>0.21930444989541165</v>
      </c>
      <c r="BF158" s="7">
        <f t="shared" si="363"/>
        <v>0.28732192900513781</v>
      </c>
      <c r="BG158" s="7">
        <f t="shared" si="363"/>
        <v>0.14760617146492763</v>
      </c>
      <c r="BH158" s="7">
        <f t="shared" si="363"/>
        <v>0.22578465625270697</v>
      </c>
      <c r="BI158" s="7">
        <f t="shared" si="363"/>
        <v>0.29446346358163145</v>
      </c>
      <c r="BJ158" s="7">
        <f t="shared" si="363"/>
        <v>0.25806767659022417</v>
      </c>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row>
    <row r="159" spans="2:99" x14ac:dyDescent="0.25">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row>
    <row r="160" spans="2:99" x14ac:dyDescent="0.25">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row>
    <row r="161" spans="2:99" x14ac:dyDescent="0.25">
      <c r="B161" s="29" t="s">
        <v>145</v>
      </c>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f t="shared" ref="AK161" si="364">+SUM(AK115,AK117)</f>
        <v>200934</v>
      </c>
      <c r="AL161" s="6">
        <f t="shared" ref="AL161" si="365">+SUM(AL115,AL117)</f>
        <v>219524</v>
      </c>
      <c r="AM161" s="6"/>
      <c r="AN161" s="6"/>
      <c r="AO161" s="6"/>
      <c r="AP161" s="6"/>
      <c r="AQ161" s="6"/>
      <c r="AR161" s="6"/>
      <c r="AS161" s="6"/>
      <c r="AT161" s="6"/>
      <c r="AU161" s="6"/>
      <c r="AV161" s="6"/>
      <c r="AW161" s="6"/>
      <c r="AX161" s="6"/>
      <c r="AY161" s="6">
        <f t="shared" ref="AY161:BJ161" si="366">+SUM(AY115,AY117)</f>
        <v>25877</v>
      </c>
      <c r="AZ161" s="6">
        <f t="shared" si="366"/>
        <v>26959</v>
      </c>
      <c r="BA161" s="6">
        <f t="shared" si="366"/>
        <v>29248</v>
      </c>
      <c r="BB161" s="6">
        <f t="shared" si="366"/>
        <v>33826</v>
      </c>
      <c r="BC161" s="6">
        <f t="shared" si="366"/>
        <v>44278</v>
      </c>
      <c r="BD161" s="6">
        <f t="shared" si="366"/>
        <v>54932</v>
      </c>
      <c r="BE161" s="6">
        <f t="shared" si="366"/>
        <v>65306</v>
      </c>
      <c r="BF161" s="6">
        <f t="shared" si="366"/>
        <v>77640</v>
      </c>
      <c r="BG161" s="6">
        <f t="shared" si="366"/>
        <v>100721</v>
      </c>
      <c r="BH161" s="6">
        <f t="shared" si="366"/>
        <v>118029</v>
      </c>
      <c r="BI161" s="6">
        <f t="shared" si="366"/>
        <v>142000</v>
      </c>
      <c r="BJ161" s="6">
        <f t="shared" si="366"/>
        <v>200934</v>
      </c>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row>
    <row r="162" spans="2:99" x14ac:dyDescent="0.25">
      <c r="B162" s="29" t="s">
        <v>151</v>
      </c>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f t="shared" ref="AK162" si="367">+AK161+AK154</f>
        <v>211809</v>
      </c>
      <c r="AL162" s="6">
        <f t="shared" ref="AL162" si="368">+AL161+AL154</f>
        <v>223668</v>
      </c>
      <c r="AM162" s="6"/>
      <c r="AN162" s="6"/>
      <c r="AO162" s="6"/>
      <c r="AP162" s="6"/>
      <c r="AQ162" s="6"/>
      <c r="AR162" s="6"/>
      <c r="AS162" s="6"/>
      <c r="AT162" s="6"/>
      <c r="AU162" s="6"/>
      <c r="AV162" s="6"/>
      <c r="AW162" s="6"/>
      <c r="AX162" s="6"/>
      <c r="AY162" s="6">
        <f t="shared" ref="AY162:BJ162" si="369">+AY161+AY154</f>
        <v>27177</v>
      </c>
      <c r="AZ162" s="6">
        <f t="shared" si="369"/>
        <v>29105</v>
      </c>
      <c r="BA162" s="6">
        <f t="shared" si="369"/>
        <v>32659</v>
      </c>
      <c r="BB162" s="6">
        <f t="shared" si="369"/>
        <v>38888</v>
      </c>
      <c r="BC162" s="6">
        <f t="shared" si="369"/>
        <v>50504</v>
      </c>
      <c r="BD162" s="6">
        <f t="shared" si="369"/>
        <v>62201</v>
      </c>
      <c r="BE162" s="6">
        <f t="shared" si="369"/>
        <v>74217</v>
      </c>
      <c r="BF162" s="6">
        <f t="shared" si="369"/>
        <v>86544</v>
      </c>
      <c r="BG162" s="6">
        <f t="shared" si="369"/>
        <v>108080</v>
      </c>
      <c r="BH162" s="6">
        <f t="shared" si="369"/>
        <v>128486</v>
      </c>
      <c r="BI162" s="6">
        <f t="shared" si="369"/>
        <v>151307</v>
      </c>
      <c r="BJ162" s="6">
        <f t="shared" si="369"/>
        <v>211809</v>
      </c>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row>
    <row r="163" spans="2:99" x14ac:dyDescent="0.25">
      <c r="B163" s="29" t="s">
        <v>146</v>
      </c>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7">
        <f t="shared" ref="AK163" si="370">+AK37/AK162</f>
        <v>0.10749307158808172</v>
      </c>
      <c r="AL163" s="7">
        <f t="shared" ref="AL163" si="371">+AL37/AL162</f>
        <v>8.3636103510560306E-2</v>
      </c>
      <c r="AM163" s="6"/>
      <c r="AN163" s="6"/>
      <c r="AO163" s="6"/>
      <c r="AP163" s="6"/>
      <c r="AQ163" s="6"/>
      <c r="AR163" s="6"/>
      <c r="AS163" s="6"/>
      <c r="AT163" s="6"/>
      <c r="AU163" s="6"/>
      <c r="AV163" s="6"/>
      <c r="AW163" s="6"/>
      <c r="AX163" s="6"/>
      <c r="AY163" s="7">
        <f t="shared" ref="AY163:BJ163" si="372">+AY37/AY162</f>
        <v>0.10817971078485485</v>
      </c>
      <c r="AZ163" s="7">
        <f t="shared" si="372"/>
        <v>0.12671362308881637</v>
      </c>
      <c r="BA163" s="7">
        <f t="shared" si="372"/>
        <v>0.31283872745644387</v>
      </c>
      <c r="BB163" s="7">
        <f t="shared" si="372"/>
        <v>0.40974079407529312</v>
      </c>
      <c r="BC163" s="7">
        <f t="shared" si="372"/>
        <v>0.43782670679550134</v>
      </c>
      <c r="BD163" s="7">
        <f t="shared" si="372"/>
        <v>0.29862863941094192</v>
      </c>
      <c r="BE163" s="7">
        <f t="shared" si="372"/>
        <v>0.39271325976528287</v>
      </c>
      <c r="BF163" s="7">
        <f t="shared" si="372"/>
        <v>0.45491310778332411</v>
      </c>
      <c r="BG163" s="7">
        <f t="shared" si="372"/>
        <v>0.21465581051073279</v>
      </c>
      <c r="BH163" s="7">
        <f t="shared" si="372"/>
        <v>0.30429774450134645</v>
      </c>
      <c r="BI163" s="7">
        <f t="shared" si="372"/>
        <v>0.41214220095567289</v>
      </c>
      <c r="BJ163" s="7">
        <f t="shared" si="372"/>
        <v>0.36064095482250519</v>
      </c>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row>
    <row r="164" spans="2:99" x14ac:dyDescent="0.25">
      <c r="B164" s="29"/>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row>
    <row r="165" spans="2:99" x14ac:dyDescent="0.25">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row>
    <row r="166" spans="2:99" x14ac:dyDescent="0.25">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row>
    <row r="167" spans="2:99" x14ac:dyDescent="0.25">
      <c r="B167" s="13" t="s">
        <v>87</v>
      </c>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f>+AJ167/1.08</f>
        <v>72638.888888888891</v>
      </c>
      <c r="AG167" s="6"/>
      <c r="AH167" s="6">
        <v>76834</v>
      </c>
      <c r="AI167" s="6">
        <v>75945</v>
      </c>
      <c r="AJ167" s="6">
        <v>78450</v>
      </c>
      <c r="AK167" s="6">
        <v>78865</v>
      </c>
      <c r="AL167" s="6">
        <v>77986</v>
      </c>
      <c r="AM167" s="6"/>
      <c r="AN167" s="6"/>
      <c r="AO167" s="6"/>
      <c r="AP167" s="6"/>
      <c r="AQ167" s="6"/>
      <c r="AR167" s="6"/>
      <c r="AS167" s="6"/>
      <c r="AT167" s="6"/>
      <c r="AU167" s="6"/>
      <c r="AV167" s="6"/>
      <c r="AW167" s="6"/>
      <c r="AX167" s="6"/>
      <c r="AY167" s="6">
        <v>9199</v>
      </c>
      <c r="AZ167" s="6">
        <v>12691</v>
      </c>
      <c r="BA167" s="6"/>
      <c r="BB167" s="6"/>
      <c r="BC167" s="6"/>
      <c r="BD167" s="6">
        <v>44942</v>
      </c>
      <c r="BE167" s="6"/>
      <c r="BF167" s="6">
        <v>71970</v>
      </c>
      <c r="BG167" s="6"/>
      <c r="BH167" s="6"/>
      <c r="BI167" s="6"/>
      <c r="BJ167" s="6">
        <v>78865</v>
      </c>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row>
    <row r="168" spans="2:99" x14ac:dyDescent="0.25">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row>
    <row r="169" spans="2:99" x14ac:dyDescent="0.25">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row>
    <row r="170" spans="2:99" x14ac:dyDescent="0.25">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row>
    <row r="171" spans="2:99" x14ac:dyDescent="0.25">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row>
    <row r="172" spans="2:99" x14ac:dyDescent="0.25">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row>
    <row r="173" spans="2:99" x14ac:dyDescent="0.25">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row>
    <row r="174" spans="2:99" x14ac:dyDescent="0.25">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row>
    <row r="175" spans="2:99" x14ac:dyDescent="0.25">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row>
    <row r="176" spans="2:99" x14ac:dyDescent="0.25">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row>
    <row r="177" spans="3:99" x14ac:dyDescent="0.25">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row>
    <row r="178" spans="3:99" x14ac:dyDescent="0.25">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row>
  </sheetData>
  <phoneticPr fontId="6" type="noConversion"/>
  <hyperlinks>
    <hyperlink ref="A1" location="Main!A1" display="Main" xr:uid="{E8FA6CAF-23DF-4DF4-9899-CB8382EB33BF}"/>
  </hyperlink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Franciszek Kessler</dc:creator>
  <cp:lastModifiedBy>Franciszek Kessler</cp:lastModifiedBy>
  <dcterms:created xsi:type="dcterms:W3CDTF">2024-01-06T21:29:40Z</dcterms:created>
  <dcterms:modified xsi:type="dcterms:W3CDTF">2026-06-22T00:48:15Z</dcterms:modified>
</cp:coreProperties>
</file>